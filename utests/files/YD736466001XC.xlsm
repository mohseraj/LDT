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2" codeName="{F3310B89-0DAA-6C43-5919-0D5897632BE8}"/>
  <workbookPr codeName="ThisWorkbook" defaultThemeVersion="124226"/>
  <mc:AlternateContent xmlns:mc="http://schemas.openxmlformats.org/markup-compatibility/2006">
    <mc:Choice Requires="x15">
      <x15ac:absPath xmlns:x15ac="http://schemas.microsoft.com/office/spreadsheetml/2010/11/ac" url="/Users/mserag/Projects/Desktop/LDT/utests/files/"/>
    </mc:Choice>
  </mc:AlternateContent>
  <xr:revisionPtr revIDLastSave="0" documentId="13_ncr:1_{30029802-E3DF-B449-819A-34554CC17FF0}" xr6:coauthVersionLast="47" xr6:coauthVersionMax="47" xr10:uidLastSave="{00000000-0000-0000-0000-000000000000}"/>
  <bookViews>
    <workbookView xWindow="0" yWindow="500" windowWidth="28120" windowHeight="16440" xr2:uid="{7E03E044-7D6F-42EE-A9AE-E951B38417FB}"/>
  </bookViews>
  <sheets>
    <sheet name="SA-2824-ENG-xlsm" sheetId="1" r:id="rId1"/>
  </sheets>
  <definedNames>
    <definedName name="_xlnm._FilterDatabase" localSheetId="0" hidden="1">'SA-2824-ENG-xlsm'!$A$5:$DZ$5</definedName>
    <definedName name="CONSTRUCTION_BY" localSheetId="0">'SA-2824-ENG-xlsm'!$BT$56</definedName>
    <definedName name="CONSTRUCTION_DATE" localSheetId="0">'SA-2824-ENG-xlsm'!$BT$57</definedName>
    <definedName name="DC_CERTIFIED_BY" localSheetId="0">'SA-2824-ENG-xlsm'!$BM$56</definedName>
    <definedName name="DC_CERTIFIED_DATE" localSheetId="0">'SA-2824-ENG-xlsm'!$BM$57</definedName>
    <definedName name="DC_ENGG_BY" localSheetId="0">'SA-2824-ENG-xlsm'!$BF$56</definedName>
    <definedName name="DC_ENGG_DATE" localSheetId="0">'SA-2824-ENG-xlsm'!$BF$57</definedName>
    <definedName name="DCC_NO" localSheetId="0">'SA-2824-ENG-xlsm'!$BN$51</definedName>
    <definedName name="DWG_INDEX" localSheetId="0">'SA-2824-ENG-xlsm'!$CV$59</definedName>
    <definedName name="DWG_JO_EWO" localSheetId="0">'SA-2824-ENG-xlsm'!$BF$61</definedName>
    <definedName name="DWG_NUMBER" localSheetId="0">'SA-2824-ENG-xlsm'!$CZ$59</definedName>
    <definedName name="DWG_TITLE1" localSheetId="0">'SA-2824-ENG-xlsm'!$CO$49</definedName>
    <definedName name="DWG_TITLE2" localSheetId="0">'SA-2824-ENG-xlsm'!$CO$54</definedName>
    <definedName name="DWG_TITLE3" localSheetId="0">'SA-2824-ENG-xlsm'!$CO$55</definedName>
    <definedName name="DWG_TYPE" localSheetId="0">'SA-2824-ENG-xlsm'!$DO$50</definedName>
    <definedName name="OPERATIONS_BY" localSheetId="0">'SA-2824-ENG-xlsm'!$CB$56</definedName>
    <definedName name="OPERATIONS_DATE" localSheetId="0">'SA-2824-ENG-xlsm'!$CB$57</definedName>
    <definedName name="OTHER_BY" localSheetId="0">'SA-2824-ENG-xlsm'!$CH$56</definedName>
    <definedName name="OTHER_DATE" localSheetId="0">'SA-2824-ENG-xlsm'!$CH$57</definedName>
    <definedName name="PLANT_NUMBER" localSheetId="0">'SA-2824-ENG-xlsm'!$CO$59</definedName>
    <definedName name="_xlnm.Print_Area" localSheetId="0">'SA-2824-ENG-xlsm'!$A$1:$DT$63</definedName>
    <definedName name="REV_DATE" localSheetId="0">'SA-2824-ENG-xlsm'!$BK$59</definedName>
    <definedName name="REV_DESCRIPTION" localSheetId="0">'SA-2824-ENG-xlsm'!$BQ$59</definedName>
    <definedName name="REV_NUMBER" localSheetId="0">'SA-2824-ENG-xlsm'!$DO$59</definedName>
    <definedName name="REV_NUMBER1" localSheetId="0">'SA-2824-ENG-xlsm'!$BN$48</definedName>
    <definedName name="RV_REV_NUMBER" localSheetId="0">'SA-2824-ENG-xlsm'!$BF$59</definedName>
    <definedName name="SHEET_NUMBER" localSheetId="0">'SA-2824-ENG-xlsm'!$DJ$59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57" i="1" l="1"/>
  <c r="BF61" i="1"/>
  <c r="BN48" i="1"/>
  <c r="CB57" i="1"/>
  <c r="BF59" i="1"/>
  <c r="BK59" i="1"/>
  <c r="BM57" i="1"/>
</calcChain>
</file>

<file path=xl/sharedStrings.xml><?xml version="1.0" encoding="utf-8"?>
<sst xmlns="http://schemas.openxmlformats.org/spreadsheetml/2006/main" count="3367" uniqueCount="296">
  <si>
    <t>LINE
NO.</t>
  </si>
  <si>
    <t>SIZE</t>
  </si>
  <si>
    <t>PIPING
SPEC.</t>
  </si>
  <si>
    <t>SCHED.</t>
  </si>
  <si>
    <t>INSULATION
SPEC.</t>
  </si>
  <si>
    <t>SERVICE</t>
  </si>
  <si>
    <t>FROM</t>
  </si>
  <si>
    <t>TO</t>
  </si>
  <si>
    <t>LINE INFORMATION</t>
  </si>
  <si>
    <t>TEMP</t>
  </si>
  <si>
    <t>PRESS</t>
  </si>
  <si>
    <t>MAX. DESIGNED
CONDITIONS</t>
  </si>
  <si>
    <t xml:space="preserve">PHASE
</t>
  </si>
  <si>
    <t>API
OR
SP.</t>
  </si>
  <si>
    <t>LBS
PER
HOUR</t>
  </si>
  <si>
    <t>AT STANDARD CONDITION
(6OF AND I ATM)</t>
  </si>
  <si>
    <t>AP/100
FEET
(PSI)</t>
  </si>
  <si>
    <t>AT FLOW CONDITIONS</t>
  </si>
  <si>
    <t>SAUDI  ARABIAN  OIL  COMPANY</t>
  </si>
  <si>
    <t>DWG. TYPE</t>
  </si>
  <si>
    <t xml:space="preserve">NUMBER  </t>
  </si>
  <si>
    <t>THROUGH</t>
  </si>
  <si>
    <t xml:space="preserve">SAUDI ARABIA
</t>
  </si>
  <si>
    <t>INDEX</t>
  </si>
  <si>
    <t>DRAWING NUMBER</t>
  </si>
  <si>
    <t>SHEET NO.</t>
  </si>
  <si>
    <t>REV. NO.</t>
  </si>
  <si>
    <t xml:space="preserve">THIS DRAWING AND THE INFORMATION CONTAINED HEREIN ARE THE SOLE PROPERTY OF SAUDI ARAMCO.  NO REPRODUCTION IN FULL OR IN PART SHALL BE OBTAINED FROM THIS DOCUMENT WITHOUT THE WRITTEN CONSENT OF ITS OWNER. </t>
  </si>
  <si>
    <t>LDT</t>
  </si>
  <si>
    <t>A</t>
  </si>
  <si>
    <t>LINE DESIGNATION TABLE</t>
  </si>
  <si>
    <t>EXCEL</t>
  </si>
  <si>
    <t>Saudi Aramco 2824-ENG (11/2010) 'D' SIZE</t>
  </si>
  <si>
    <t>REVISION VALIDATION</t>
  </si>
  <si>
    <t>OTHER</t>
  </si>
  <si>
    <t>REQUIRED</t>
  </si>
  <si>
    <t>(SAUDI ARAMCO)</t>
  </si>
  <si>
    <t xml:space="preserve"> ENGG./DATE</t>
  </si>
  <si>
    <t>CERT. BY/DATE</t>
  </si>
  <si>
    <t>CONST. AGENCY/DATE</t>
  </si>
  <si>
    <t xml:space="preserve"> BY / DATE</t>
  </si>
  <si>
    <t xml:space="preserve">  DATE</t>
  </si>
  <si>
    <t>THIS REVISION IS NOT TO BE USED FOR CONSTRUCTION UNTIL CERTIFIED AND DATED</t>
  </si>
  <si>
    <t>LEGEND:</t>
  </si>
  <si>
    <t>NOTE:</t>
  </si>
  <si>
    <t>REFERENCE DRAWINGS</t>
  </si>
  <si>
    <t>PLANT NO.</t>
  </si>
  <si>
    <t>VISCOSITY</t>
  </si>
  <si>
    <t xml:space="preserve"> </t>
  </si>
  <si>
    <t>lbs/s.ft</t>
  </si>
  <si>
    <t>TOTAL   LENGTH      Feet</t>
  </si>
  <si>
    <t>GPM</t>
  </si>
  <si>
    <t>VELOCITY     FPS</t>
  </si>
  <si>
    <t>LBS/Cu.FT</t>
  </si>
  <si>
    <t>PSIG</t>
  </si>
  <si>
    <t>OPERATIONS/ DATE</t>
  </si>
  <si>
    <t>TOTAL EQUIVALENT  LENGTH      Feet</t>
  </si>
  <si>
    <t xml:space="preserve"> REVISION DESCRIPTION</t>
  </si>
  <si>
    <t xml:space="preserve"> IS COVERED, FOR ALL APPROVAL AND CERTIFICATION</t>
  </si>
  <si>
    <t xml:space="preserve">REQUIREMENTS, PER SAEP-334, UNDER DRAWING COMPLETION CERTIFICATE NO: </t>
  </si>
  <si>
    <t xml:space="preserve"> THIS REVISION NO.</t>
  </si>
  <si>
    <t xml:space="preserve"> JOB ORDER / EWO NO.</t>
  </si>
  <si>
    <t>oF</t>
  </si>
  <si>
    <t>Temp    oF</t>
  </si>
  <si>
    <t>Press PSIG</t>
  </si>
  <si>
    <t>N</t>
  </si>
  <si>
    <t>PROCESS FLOW DIAGRAM</t>
  </si>
  <si>
    <t>2"</t>
  </si>
  <si>
    <t>NNF</t>
  </si>
  <si>
    <t>LETTER DESIGNATION FOR LINE NOS.</t>
  </si>
  <si>
    <t>PIPING &amp; INSTRUMENT DIAGRAM</t>
  </si>
  <si>
    <t>G</t>
  </si>
  <si>
    <t>P-4771</t>
  </si>
  <si>
    <t>P-XXX1</t>
  </si>
  <si>
    <t>20''</t>
  </si>
  <si>
    <t>1CS2P</t>
  </si>
  <si>
    <t>STD</t>
  </si>
  <si>
    <t>HPPT GAS</t>
  </si>
  <si>
    <t>24"-P-2206-1CS2P</t>
  </si>
  <si>
    <t>H96-ZV-1001</t>
  </si>
  <si>
    <t>L/V</t>
  </si>
  <si>
    <t>-</t>
  </si>
  <si>
    <t>137084</t>
  </si>
  <si>
    <t>26532</t>
  </si>
  <si>
    <t>0.012 cp</t>
  </si>
  <si>
    <t>0.012cP</t>
  </si>
  <si>
    <t>3CS2P</t>
  </si>
  <si>
    <t>20"-P-4771-1CS2P</t>
  </si>
  <si>
    <t>20"-P-XXX1-1CS2P</t>
  </si>
  <si>
    <t>H96-D-050C SUCTION DRUM</t>
  </si>
  <si>
    <t>H96-D-050C</t>
  </si>
  <si>
    <t>H96-K-001C</t>
  </si>
  <si>
    <t>137074</t>
  </si>
  <si>
    <t>4''</t>
  </si>
  <si>
    <t>3SD0P</t>
  </si>
  <si>
    <t>10S</t>
  </si>
  <si>
    <t>ZV-1004</t>
  </si>
  <si>
    <t>L</t>
  </si>
  <si>
    <t>10S, 40</t>
  </si>
  <si>
    <t>14"-P-2210-1CS2P</t>
  </si>
  <si>
    <t>2"-P-2162-1CS2P</t>
  </si>
  <si>
    <t>6"</t>
  </si>
  <si>
    <t>3''</t>
  </si>
  <si>
    <t>PZV-1001</t>
  </si>
  <si>
    <t>0.016 cp</t>
  </si>
  <si>
    <t>0.016cP</t>
  </si>
  <si>
    <t>2''</t>
  </si>
  <si>
    <t>2"-RL-XXX1-1CS2P</t>
  </si>
  <si>
    <t>0.683</t>
  </si>
  <si>
    <t>12''</t>
  </si>
  <si>
    <t>1.5'' PP</t>
  </si>
  <si>
    <t>H96-E-001C</t>
  </si>
  <si>
    <t>10943</t>
  </si>
  <si>
    <t>8''</t>
  </si>
  <si>
    <t>12"-P-XX12-3CS2P</t>
  </si>
  <si>
    <t>PZV-1013</t>
  </si>
  <si>
    <t>2",1"</t>
  </si>
  <si>
    <t>1.5'' ET</t>
  </si>
  <si>
    <t>H96-K-001C SEAL SYSTEM</t>
  </si>
  <si>
    <t>2.9</t>
  </si>
  <si>
    <t>115.1</t>
  </si>
  <si>
    <t>H96-U-1XX1</t>
  </si>
  <si>
    <t>0.013 cp</t>
  </si>
  <si>
    <t>0.013cP</t>
  </si>
  <si>
    <t>0.03/0.63</t>
  </si>
  <si>
    <t>12"-P-XX15-3CS2P</t>
  </si>
  <si>
    <t>3"-RL-XXX6-1CS2P</t>
  </si>
  <si>
    <t>0.33 cp</t>
  </si>
  <si>
    <t>0.33cP</t>
  </si>
  <si>
    <t>0.66</t>
  </si>
  <si>
    <t>10''</t>
  </si>
  <si>
    <t>FV-1003</t>
  </si>
  <si>
    <t>83.22</t>
  </si>
  <si>
    <t>18''</t>
  </si>
  <si>
    <t>20"-P-XXX2-3CS2P</t>
  </si>
  <si>
    <t>45.82</t>
  </si>
  <si>
    <t>10"-P-375-3CS2PG</t>
  </si>
  <si>
    <t>308088</t>
  </si>
  <si>
    <t>16"-P-XX30-3CS2P</t>
  </si>
  <si>
    <t>1.8/61.41</t>
  </si>
  <si>
    <t>2"-P-XX66-1CS2P</t>
  </si>
  <si>
    <t>0.011 cp</t>
  </si>
  <si>
    <t>0.011cP</t>
  </si>
  <si>
    <t>0.072 lb/ft3</t>
  </si>
  <si>
    <t>1''</t>
  </si>
  <si>
    <t>20"-P-XX22-3CS2P</t>
  </si>
  <si>
    <t>12"-RL-XXX7-1CS2P</t>
  </si>
  <si>
    <t>ATM</t>
  </si>
  <si>
    <t>PV-1045</t>
  </si>
  <si>
    <t>360249</t>
  </si>
  <si>
    <t>158844</t>
  </si>
  <si>
    <t>PV-1198</t>
  </si>
  <si>
    <t>16''</t>
  </si>
  <si>
    <t>16"-P-XX31-6CS2P</t>
  </si>
  <si>
    <t>127879</t>
  </si>
  <si>
    <t>6CS2P</t>
  </si>
  <si>
    <t>60</t>
  </si>
  <si>
    <t>80, 60</t>
  </si>
  <si>
    <t>H96-D-051C</t>
  </si>
  <si>
    <t>135</t>
  </si>
  <si>
    <t>483</t>
  </si>
  <si>
    <t>14''</t>
  </si>
  <si>
    <t>H96-K-101C</t>
  </si>
  <si>
    <t>127450</t>
  </si>
  <si>
    <t>2.205</t>
  </si>
  <si>
    <t>1LE2P</t>
  </si>
  <si>
    <t>40</t>
  </si>
  <si>
    <t>80S</t>
  </si>
  <si>
    <t>3"-P-XX38-9SD0P</t>
  </si>
  <si>
    <t>593</t>
  </si>
  <si>
    <t>1.24</t>
  </si>
  <si>
    <t>1</t>
  </si>
  <si>
    <t>FV-1006</t>
  </si>
  <si>
    <t>0.135 cp</t>
  </si>
  <si>
    <t>0.135cP</t>
  </si>
  <si>
    <t>PZV-1018</t>
  </si>
  <si>
    <t>0.04 cp</t>
  </si>
  <si>
    <t>0.04cP</t>
  </si>
  <si>
    <t>PZV-1019</t>
  </si>
  <si>
    <t>80</t>
  </si>
  <si>
    <t>2"-RL-XXX9-1CS2P</t>
  </si>
  <si>
    <t>9SD0P</t>
  </si>
  <si>
    <t>3"-P-XX33-1LE2P</t>
  </si>
  <si>
    <t>9CS2P</t>
  </si>
  <si>
    <t>100</t>
  </si>
  <si>
    <t>1.5 '' PP</t>
  </si>
  <si>
    <t>321</t>
  </si>
  <si>
    <t>1598</t>
  </si>
  <si>
    <t>0.018 cp</t>
  </si>
  <si>
    <t>0.018cP</t>
  </si>
  <si>
    <t>0.0745</t>
  </si>
  <si>
    <t>12"-P-XX39-9CS2P</t>
  </si>
  <si>
    <t>PZV-1029</t>
  </si>
  <si>
    <t>6.189</t>
  </si>
  <si>
    <t>PZV-1030</t>
  </si>
  <si>
    <t>H96-E-101C</t>
  </si>
  <si>
    <t>0.0188 cp</t>
  </si>
  <si>
    <t>0.0188cP</t>
  </si>
  <si>
    <t>5.29</t>
  </si>
  <si>
    <t>1580</t>
  </si>
  <si>
    <t>0.0182 cp</t>
  </si>
  <si>
    <t>0.0182cP</t>
  </si>
  <si>
    <t>H96-D-101C</t>
  </si>
  <si>
    <t>8"</t>
  </si>
  <si>
    <t>10"-P-XX44-9CS2P</t>
  </si>
  <si>
    <t>0.0194 cp</t>
  </si>
  <si>
    <t>0.0194cP</t>
  </si>
  <si>
    <t>10-13191-0002-001</t>
  </si>
  <si>
    <t>MEA</t>
  </si>
  <si>
    <t>WBM</t>
  </si>
  <si>
    <t>BHF</t>
  </si>
  <si>
    <t>MAJ</t>
  </si>
  <si>
    <t>H96</t>
  </si>
  <si>
    <t>GOSP GAS GATHERING FACILITIES</t>
  </si>
  <si>
    <t xml:space="preserve">NUAYYIM </t>
  </si>
  <si>
    <t>ISSUED FOR 60% REVIEW</t>
  </si>
  <si>
    <t>12"-P-4779-3CS2P</t>
  </si>
  <si>
    <t>12"-P-4783-3CS2P</t>
  </si>
  <si>
    <t>20"-P-4772-3CS2P</t>
  </si>
  <si>
    <t>16"-P-4788-6CS2P</t>
  </si>
  <si>
    <t>16"-P-4787-3CS2P</t>
  </si>
  <si>
    <t>10"-P-3046-3CS2PG</t>
  </si>
  <si>
    <t>10"</t>
  </si>
  <si>
    <t>12"-P-4789-3CS2P</t>
  </si>
  <si>
    <t>3.66 cP</t>
  </si>
  <si>
    <t>3"-P-4799-1LE2P</t>
  </si>
  <si>
    <t>3"-P-4798-9SD0P</t>
  </si>
  <si>
    <t>12"-P-4803-9CS2P</t>
  </si>
  <si>
    <t>10"-P-4807-9CS2P</t>
  </si>
  <si>
    <t>2183</t>
  </si>
  <si>
    <t>12"-P-474 -9CS2P</t>
  </si>
  <si>
    <t>P-4810</t>
  </si>
  <si>
    <t>3"-P-4813-1LE2P</t>
  </si>
  <si>
    <t>2"-P-4817-1CS2P</t>
  </si>
  <si>
    <t>DRAWING CONTROL FOR 10-13191-0002</t>
  </si>
  <si>
    <t>2"-RL-4853-1CS2P</t>
  </si>
  <si>
    <t>3"-RL-4856-1CS2P</t>
  </si>
  <si>
    <t>12"-RL-4858-1CS2P</t>
  </si>
  <si>
    <t>2"-RL-4862-1CS2P</t>
  </si>
  <si>
    <t>YD-736466</t>
  </si>
  <si>
    <t>AB-036204-001</t>
  </si>
  <si>
    <t>YD-736670</t>
  </si>
  <si>
    <t>BA-406921-003 ~ BA-406926-021</t>
  </si>
  <si>
    <t>YA-736547-001 ~ YA-736570-001</t>
  </si>
  <si>
    <t>378180</t>
  </si>
  <si>
    <t>199255</t>
  </si>
  <si>
    <t>199245</t>
  </si>
  <si>
    <t>378161</t>
  </si>
  <si>
    <t>196668</t>
  </si>
  <si>
    <t>465</t>
  </si>
  <si>
    <t>199254</t>
  </si>
  <si>
    <t>144</t>
  </si>
  <si>
    <t>1.93</t>
  </si>
  <si>
    <t>31.1</t>
  </si>
  <si>
    <t>328</t>
  </si>
  <si>
    <t>1583</t>
  </si>
  <si>
    <t>0.019 cp</t>
  </si>
  <si>
    <t>4.482</t>
  </si>
  <si>
    <t>1561</t>
  </si>
  <si>
    <t>200</t>
  </si>
  <si>
    <t xml:space="preserve">N         -   NO INSULATION
G        -   GAS
L         -   LIQUID 
SCH    -   PIPE SCHEDULE
PP      -   PERSONNEL PROTECTION    
ET      -   ELECTRIC HEAT TRACING
NNF    -   NORMALLY NO FLOW                     </t>
  </si>
  <si>
    <t xml:space="preserve"> PROCESS (P)</t>
  </si>
  <si>
    <t>BA-406822-001 ~ YA-736546-002</t>
  </si>
  <si>
    <t>H96-ZV-7300</t>
  </si>
  <si>
    <t xml:space="preserve">H96-D-0050C </t>
  </si>
  <si>
    <t>H96-K-0001C</t>
  </si>
  <si>
    <t>H96-D-0500C</t>
  </si>
  <si>
    <t>H96-ZV-7302</t>
  </si>
  <si>
    <t>H96-PZV-4742</t>
  </si>
  <si>
    <t>H96-PZV-4743</t>
  </si>
  <si>
    <t>H96-PZV-4744</t>
  </si>
  <si>
    <t>H96-PZV-4745</t>
  </si>
  <si>
    <t>H96-K-0001C SEAL SYSTEM</t>
  </si>
  <si>
    <t>H96-E-0001C</t>
  </si>
  <si>
    <t>H96-FV-4422</t>
  </si>
  <si>
    <t>H96-D-0051C</t>
  </si>
  <si>
    <t>H96-U-0500</t>
  </si>
  <si>
    <t>H96-PV-6117</t>
  </si>
  <si>
    <t>H96-PV-6147</t>
  </si>
  <si>
    <t>H96-K-0101C</t>
  </si>
  <si>
    <t>H96-PZV-4746</t>
  </si>
  <si>
    <t>H96-PZV-4747</t>
  </si>
  <si>
    <t>H96-E-0101C</t>
  </si>
  <si>
    <t>H96-PZV-4748</t>
  </si>
  <si>
    <t>H96-PZV-4749</t>
  </si>
  <si>
    <t>H96-K-0101C SEAL SYSTEM</t>
  </si>
  <si>
    <t>H96-D-0101C</t>
  </si>
  <si>
    <t>H96-FV-4425</t>
  </si>
  <si>
    <t>40S</t>
  </si>
  <si>
    <r>
      <rPr>
        <b/>
        <sz val="8"/>
        <color indexed="8"/>
        <rFont val="Arial"/>
        <family val="2"/>
      </rPr>
      <t>DESIGN CERTIFICATION</t>
    </r>
    <r>
      <rPr>
        <sz val="8"/>
        <color indexed="8"/>
        <rFont val="Arial"/>
        <family val="2"/>
      </rPr>
      <t xml:space="preserve">
(DESIGN AGENCY)</t>
    </r>
  </si>
  <si>
    <r>
      <t>REVIEW FOR KEY DRAWINGS</t>
    </r>
    <r>
      <rPr>
        <sz val="8"/>
        <color indexed="8"/>
        <rFont val="Arial"/>
        <family val="2"/>
      </rPr>
      <t xml:space="preserve"> </t>
    </r>
  </si>
  <si>
    <t>1'' PP</t>
  </si>
  <si>
    <t>1" PP</t>
  </si>
  <si>
    <t xml:space="preserve">1. OPERATING AND DESIGN CONDITIONS ARE PRELIMINARY AND WILL BE CONFIRMED IN NEXT SUBMITTAL.
2. DESIGN TEMPERATURE OF OUTLET LINES AND ASSOCIATED PIPING OF HP AND PIPELINE COMPRESSORS ARE ON HOLD AND SUBJECT TO CONFIRMATION OF COMPRESSORS VENDORS.
3.INSULATION THICKNESS IS PRELIMINARY AND WILL BE CONFIRMED IN NEXT SUBMITTAL.
</t>
  </si>
  <si>
    <t>6SD0P</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</si>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</sst>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
    <numFmt numFmtId="165" formatCode="00"/>
    <numFmt numFmtId="166" formatCode="#,##0.0000"/>
  </numFmts>
  <fonts count="33">
    <font>
      <sz val="11"/>
      <color theme="1"/>
      <name val="Calibri"/>
      <family val="2"/>
      <scheme val="minor"/>
    </font>
    <font>
      <sz val="10"/>
      <name val="Arial"/>
      <family val="2"/>
    </font>
    <font>
      <sz val="10"/>
      <name val="Times New Roman"/>
      <family val="1"/>
    </font>
    <font>
      <sz val="8"/>
      <color indexed="8"/>
      <name val="Arial"/>
      <family val="2"/>
    </font>
    <font>
      <b/>
      <sz val="9"/>
      <color indexed="8"/>
      <name val="Arial"/>
      <family val="2"/>
    </font>
    <font>
      <sz val="9"/>
      <color indexed="8"/>
      <name val="Arial"/>
      <family val="2"/>
    </font>
    <font>
      <b/>
      <sz val="14"/>
      <color indexed="8"/>
      <name val="Times New Roman"/>
      <family val="1"/>
    </font>
    <font>
      <sz val="6"/>
      <color indexed="8"/>
      <name val="Calibri"/>
      <family val="2"/>
    </font>
    <font>
      <b/>
      <sz val="10"/>
      <color indexed="8"/>
      <name val="Calibri"/>
      <family val="2"/>
    </font>
    <font>
      <b/>
      <sz val="10"/>
      <color indexed="8"/>
      <name val="Times New Roman"/>
      <family val="1"/>
    </font>
    <font>
      <b/>
      <sz val="8"/>
      <color indexed="8"/>
      <name val="Arial"/>
      <family val="2"/>
    </font>
    <font>
      <sz val="8"/>
      <color indexed="8"/>
      <name val="Calibri"/>
      <family val="2"/>
    </font>
    <font>
      <sz val="11"/>
      <color theme="1"/>
      <name val="Calibri"/>
      <family val="2"/>
      <scheme val="minor"/>
    </font>
    <font>
      <sz val="10"/>
      <color theme="1"/>
      <name val="Arial"/>
      <family val="2"/>
    </font>
    <font>
      <sz val="9"/>
      <color theme="1"/>
      <name val="Arial"/>
      <family val="2"/>
    </font>
    <font>
      <b/>
      <sz val="14"/>
      <color theme="1"/>
      <name val="Times New Roman"/>
      <family val="1"/>
    </font>
    <font>
      <b/>
      <sz val="9"/>
      <color theme="1"/>
      <name val="Arial"/>
      <family val="2"/>
    </font>
    <font>
      <b/>
      <sz val="10"/>
      <color theme="1"/>
      <name val="Times New Roman"/>
      <family val="1"/>
    </font>
    <font>
      <b/>
      <sz val="8"/>
      <color theme="1"/>
      <name val="Arial"/>
      <family val="2"/>
    </font>
    <font>
      <sz val="8"/>
      <color theme="1"/>
      <name val="Arial"/>
      <family val="2"/>
    </font>
    <font>
      <sz val="7"/>
      <color theme="1"/>
      <name val="Arial"/>
      <family val="2"/>
    </font>
    <font>
      <sz val="6"/>
      <color theme="1"/>
      <name val="Arial"/>
      <family val="2"/>
    </font>
    <font>
      <b/>
      <sz val="12"/>
      <color theme="1"/>
      <name val="Times New Roman"/>
      <family val="1"/>
    </font>
    <font>
      <b/>
      <sz val="12"/>
      <color theme="1"/>
      <name val="Arial"/>
      <family val="2"/>
    </font>
    <font>
      <sz val="12"/>
      <color theme="1"/>
      <name val="Arial"/>
      <family val="2"/>
    </font>
    <font>
      <b/>
      <sz val="10"/>
      <color theme="1"/>
      <name val="Arial"/>
      <family val="2"/>
    </font>
    <font>
      <b/>
      <sz val="11"/>
      <color theme="1"/>
      <name val="Calibri"/>
      <family val="2"/>
    </font>
    <font>
      <b/>
      <sz val="6"/>
      <color theme="1"/>
      <name val="Arial"/>
      <family val="2"/>
    </font>
    <font>
      <sz val="8"/>
      <color theme="1"/>
      <name val="Helv"/>
    </font>
    <font>
      <b/>
      <sz val="6"/>
      <color theme="1"/>
      <name val="Helv"/>
    </font>
    <font>
      <sz val="6"/>
      <color theme="1"/>
      <name val="Arial Black"/>
      <family val="2"/>
    </font>
    <font>
      <sz val="7"/>
      <color theme="1"/>
      <name val="Arial Black"/>
      <family val="2"/>
    </font>
    <font>
      <sz val="5.5"/>
      <color theme="1"/>
      <name val="Arial Black"/>
      <family val="2"/>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38">
    <border>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top style="thin">
        <color indexed="64"/>
      </top>
      <bottom style="hair">
        <color indexed="64"/>
      </bottom>
      <diagonal/>
    </border>
    <border>
      <left style="thin">
        <color indexed="64"/>
      </left>
      <right/>
      <top/>
      <bottom style="medium">
        <color indexed="64"/>
      </bottom>
      <diagonal/>
    </border>
    <border>
      <left/>
      <right/>
      <top style="medium">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s>
  <cellStyleXfs count="7">
    <xf numFmtId="0" fontId="0" fillId="0" borderId="0"/>
    <xf numFmtId="0" fontId="2" fillId="0" borderId="0">
      <alignment horizontal="center" vertical="center" wrapText="1" shrinkToFit="1"/>
    </xf>
    <xf numFmtId="0" fontId="12" fillId="0" borderId="0"/>
    <xf numFmtId="0" fontId="12" fillId="0" borderId="0"/>
    <xf numFmtId="0" fontId="12" fillId="0" borderId="0"/>
    <xf numFmtId="0" fontId="13" fillId="0" borderId="0"/>
    <xf numFmtId="0" fontId="1" fillId="0" borderId="0"/>
  </cellStyleXfs>
  <cellXfs count="363">
    <xf numFmtId="0" fontId="0" fillId="0" borderId="0" xfId="0"/>
    <xf numFmtId="0" fontId="0" fillId="2" borderId="0" xfId="0" applyFill="1"/>
    <xf numFmtId="0" fontId="6" fillId="2" borderId="0" xfId="0" applyFont="1" applyFill="1" applyAlignment="1">
      <alignment vertical="center" wrapText="1"/>
    </xf>
    <xf numFmtId="0" fontId="7" fillId="2" borderId="0" xfId="0" applyFont="1" applyFill="1" applyAlignment="1">
      <alignment vertical="center"/>
    </xf>
    <xf numFmtId="0" fontId="8" fillId="2" borderId="0" xfId="0" applyFont="1" applyFill="1" applyAlignment="1">
      <alignment vertical="center"/>
    </xf>
    <xf numFmtId="0" fontId="4" fillId="2" borderId="0" xfId="0" applyFont="1" applyFill="1" applyAlignment="1">
      <alignment vertical="center"/>
    </xf>
    <xf numFmtId="0" fontId="4" fillId="2" borderId="0" xfId="0" applyFont="1" applyFill="1" applyAlignment="1">
      <alignment vertical="center" wrapText="1"/>
    </xf>
    <xf numFmtId="0" fontId="9" fillId="2" borderId="0" xfId="0" applyFont="1" applyFill="1" applyAlignment="1">
      <alignment vertical="center" wrapText="1"/>
    </xf>
    <xf numFmtId="0" fontId="10" fillId="2" borderId="0" xfId="0" applyFont="1" applyFill="1" applyAlignment="1">
      <alignment vertical="center" wrapText="1"/>
    </xf>
    <xf numFmtId="0" fontId="5" fillId="2" borderId="0" xfId="0" applyFont="1" applyFill="1" applyAlignment="1">
      <alignment vertical="center"/>
    </xf>
    <xf numFmtId="0" fontId="3" fillId="2" borderId="0" xfId="0" applyFont="1" applyFill="1" applyAlignment="1">
      <alignment vertical="center"/>
    </xf>
    <xf numFmtId="0" fontId="11" fillId="2" borderId="0" xfId="0" applyFont="1" applyFill="1" applyAlignment="1">
      <alignment vertical="center"/>
    </xf>
    <xf numFmtId="0" fontId="13" fillId="0" borderId="1" xfId="5" applyBorder="1"/>
    <xf numFmtId="0" fontId="0" fillId="0" borderId="0" xfId="0" applyAlignment="1">
      <alignment horizontal="right" vertical="center"/>
    </xf>
    <xf numFmtId="0" fontId="14" fillId="0" borderId="0" xfId="0" applyFont="1" applyAlignment="1">
      <alignment horizontal="center" vertical="center"/>
    </xf>
    <xf numFmtId="0" fontId="14" fillId="2" borderId="0" xfId="0" applyFont="1" applyFill="1" applyAlignment="1">
      <alignment horizontal="center" vertical="center"/>
    </xf>
    <xf numFmtId="0" fontId="15" fillId="2" borderId="0" xfId="0" applyFont="1" applyFill="1" applyAlignment="1">
      <alignment vertical="center" wrapText="1"/>
    </xf>
    <xf numFmtId="0" fontId="16" fillId="2" borderId="0" xfId="0" applyFont="1" applyFill="1" applyAlignment="1">
      <alignment vertical="center"/>
    </xf>
    <xf numFmtId="0" fontId="16" fillId="2" borderId="0" xfId="0" applyFont="1" applyFill="1" applyAlignment="1">
      <alignment vertical="center" wrapText="1"/>
    </xf>
    <xf numFmtId="0" fontId="17" fillId="2" borderId="0" xfId="0" applyFont="1" applyFill="1" applyAlignment="1">
      <alignment vertical="center" wrapText="1"/>
    </xf>
    <xf numFmtId="0" fontId="18" fillId="2" borderId="0" xfId="0" applyFont="1" applyFill="1" applyAlignment="1">
      <alignment vertical="center" wrapText="1"/>
    </xf>
    <xf numFmtId="0" fontId="14" fillId="2" borderId="0" xfId="0" applyFont="1" applyFill="1" applyAlignment="1">
      <alignment vertical="center"/>
    </xf>
    <xf numFmtId="0" fontId="19" fillId="2" borderId="0" xfId="0" applyFont="1" applyFill="1" applyAlignment="1">
      <alignment vertical="center"/>
    </xf>
    <xf numFmtId="0" fontId="19" fillId="0" borderId="3" xfId="0" applyFont="1" applyBorder="1" applyAlignment="1" applyProtection="1">
      <alignment horizontal="center" vertical="center"/>
      <protection locked="0"/>
    </xf>
    <xf numFmtId="0" fontId="19" fillId="0" borderId="4" xfId="0" applyFont="1" applyBorder="1" applyAlignment="1" applyProtection="1">
      <alignment horizontal="center" vertical="center"/>
      <protection locked="0"/>
    </xf>
    <xf numFmtId="0" fontId="19" fillId="0" borderId="5" xfId="0" applyFont="1" applyBorder="1" applyAlignment="1" applyProtection="1">
      <alignment horizontal="center" vertical="center"/>
      <protection locked="0"/>
    </xf>
    <xf numFmtId="0" fontId="19" fillId="0" borderId="2" xfId="0" applyFont="1" applyBorder="1" applyAlignment="1" applyProtection="1">
      <alignment horizontal="center" vertical="center"/>
      <protection locked="0"/>
    </xf>
    <xf numFmtId="0" fontId="19" fillId="0" borderId="9" xfId="0" applyFont="1" applyBorder="1" applyAlignment="1" applyProtection="1">
      <alignment horizontal="center" vertical="center"/>
      <protection locked="0"/>
    </xf>
    <xf numFmtId="0" fontId="19" fillId="0" borderId="12" xfId="0" applyFont="1" applyBorder="1" applyAlignment="1" applyProtection="1">
      <alignment horizontal="center" vertical="center"/>
      <protection locked="0"/>
    </xf>
    <xf numFmtId="0" fontId="19" fillId="0" borderId="8" xfId="0" applyFont="1" applyBorder="1" applyAlignment="1" applyProtection="1">
      <alignment horizontal="center" vertical="center"/>
      <protection locked="0"/>
    </xf>
    <xf numFmtId="4" fontId="19" fillId="0" borderId="2" xfId="0" applyNumberFormat="1" applyFont="1" applyBorder="1" applyAlignment="1" applyProtection="1">
      <alignment horizontal="center" vertical="center"/>
      <protection locked="0"/>
    </xf>
    <xf numFmtId="49" fontId="19" fillId="0" borderId="2" xfId="0" applyNumberFormat="1" applyFont="1" applyBorder="1" applyAlignment="1" applyProtection="1">
      <alignment horizontal="center" vertical="center"/>
      <protection locked="0"/>
    </xf>
    <xf numFmtId="12" fontId="19" fillId="0" borderId="2" xfId="0" applyNumberFormat="1" applyFont="1" applyBorder="1" applyAlignment="1" applyProtection="1">
      <alignment horizontal="center" vertical="center"/>
      <protection locked="0"/>
    </xf>
    <xf numFmtId="3" fontId="19" fillId="0" borderId="2" xfId="0" applyNumberFormat="1" applyFont="1" applyBorder="1" applyAlignment="1" applyProtection="1">
      <alignment horizontal="center" vertical="center"/>
      <protection locked="0"/>
    </xf>
    <xf numFmtId="0" fontId="19" fillId="0" borderId="7" xfId="0" applyFont="1" applyBorder="1" applyAlignment="1" applyProtection="1">
      <alignment horizontal="center" vertical="center"/>
      <protection locked="0"/>
    </xf>
    <xf numFmtId="49" fontId="19" fillId="0" borderId="3" xfId="0" applyNumberFormat="1" applyFont="1" applyBorder="1" applyAlignment="1" applyProtection="1">
      <alignment horizontal="center" vertical="center"/>
      <protection locked="0"/>
    </xf>
    <xf numFmtId="49" fontId="19" fillId="0" borderId="4" xfId="0" applyNumberFormat="1" applyFont="1" applyBorder="1" applyAlignment="1" applyProtection="1">
      <alignment horizontal="center" vertical="center"/>
      <protection locked="0"/>
    </xf>
    <xf numFmtId="49" fontId="19" fillId="0" borderId="5" xfId="0" applyNumberFormat="1" applyFont="1" applyBorder="1" applyAlignment="1" applyProtection="1">
      <alignment horizontal="center" vertical="center"/>
      <protection locked="0"/>
    </xf>
    <xf numFmtId="49" fontId="19" fillId="0" borderId="8" xfId="0" applyNumberFormat="1" applyFont="1" applyBorder="1" applyAlignment="1" applyProtection="1">
      <alignment horizontal="center" vertical="center"/>
      <protection locked="0"/>
    </xf>
    <xf numFmtId="12" fontId="19" fillId="0" borderId="3" xfId="0" applyNumberFormat="1" applyFont="1" applyBorder="1" applyAlignment="1" applyProtection="1">
      <alignment horizontal="center" vertical="center"/>
      <protection locked="0"/>
    </xf>
    <xf numFmtId="12" fontId="19" fillId="0" borderId="4" xfId="0" applyNumberFormat="1" applyFont="1" applyBorder="1" applyAlignment="1" applyProtection="1">
      <alignment horizontal="center" vertical="center"/>
      <protection locked="0"/>
    </xf>
    <xf numFmtId="12" fontId="19" fillId="0" borderId="5" xfId="0" applyNumberFormat="1" applyFont="1" applyBorder="1" applyAlignment="1" applyProtection="1">
      <alignment horizontal="center" vertical="center"/>
      <protection locked="0"/>
    </xf>
    <xf numFmtId="166" fontId="19" fillId="0" borderId="2" xfId="0" applyNumberFormat="1" applyFont="1" applyBorder="1" applyAlignment="1" applyProtection="1">
      <alignment horizontal="center" vertical="center"/>
      <protection locked="0"/>
    </xf>
    <xf numFmtId="0" fontId="19" fillId="0" borderId="37" xfId="0" applyFont="1" applyBorder="1" applyAlignment="1" applyProtection="1">
      <alignment horizontal="center" vertical="center"/>
      <protection locked="0"/>
    </xf>
    <xf numFmtId="0" fontId="19" fillId="0" borderId="6" xfId="0" applyFont="1" applyBorder="1" applyAlignment="1" applyProtection="1">
      <alignment horizontal="center" vertical="center"/>
      <protection locked="0"/>
    </xf>
    <xf numFmtId="49" fontId="19" fillId="0" borderId="3" xfId="0" quotePrefix="1" applyNumberFormat="1" applyFont="1" applyBorder="1" applyAlignment="1" applyProtection="1">
      <alignment horizontal="center" vertical="center"/>
      <protection locked="0"/>
    </xf>
    <xf numFmtId="0" fontId="19" fillId="3" borderId="2" xfId="0" applyFont="1" applyFill="1" applyBorder="1" applyAlignment="1" applyProtection="1">
      <alignment horizontal="center" vertical="center"/>
      <protection locked="0"/>
    </xf>
    <xf numFmtId="0" fontId="19" fillId="0" borderId="3" xfId="0" applyFont="1" applyBorder="1" applyAlignment="1" applyProtection="1">
      <alignment horizontal="left" vertical="center"/>
      <protection locked="0"/>
    </xf>
    <xf numFmtId="0" fontId="19" fillId="0" borderId="4" xfId="0" applyFont="1" applyBorder="1" applyAlignment="1" applyProtection="1">
      <alignment horizontal="left" vertical="center"/>
      <protection locked="0"/>
    </xf>
    <xf numFmtId="0" fontId="19" fillId="0" borderId="5" xfId="0" applyFont="1" applyBorder="1" applyAlignment="1" applyProtection="1">
      <alignment horizontal="left" vertical="center"/>
      <protection locked="0"/>
    </xf>
    <xf numFmtId="0" fontId="23" fillId="2" borderId="20" xfId="0" applyFont="1" applyFill="1" applyBorder="1" applyAlignment="1">
      <alignment horizontal="center" vertical="center" wrapText="1"/>
    </xf>
    <xf numFmtId="0" fontId="23" fillId="2" borderId="16" xfId="0" applyFont="1" applyFill="1" applyBorder="1" applyAlignment="1">
      <alignment horizontal="center" vertical="center" wrapText="1"/>
    </xf>
    <xf numFmtId="0" fontId="23" fillId="2" borderId="28" xfId="0" applyFont="1" applyFill="1" applyBorder="1" applyAlignment="1">
      <alignment horizontal="center" vertical="center" wrapText="1"/>
    </xf>
    <xf numFmtId="0" fontId="23" fillId="2" borderId="21" xfId="0" applyFont="1" applyFill="1" applyBorder="1" applyAlignment="1">
      <alignment horizontal="center" vertical="center" wrapText="1"/>
    </xf>
    <xf numFmtId="0" fontId="23" fillId="2" borderId="0" xfId="0" applyFont="1" applyFill="1" applyAlignment="1">
      <alignment horizontal="center" vertical="center" wrapText="1"/>
    </xf>
    <xf numFmtId="0" fontId="23" fillId="2" borderId="30" xfId="0" applyFont="1" applyFill="1" applyBorder="1" applyAlignment="1">
      <alignment horizontal="center" vertical="center" wrapText="1"/>
    </xf>
    <xf numFmtId="0" fontId="23" fillId="2" borderId="1" xfId="0" applyFont="1" applyFill="1" applyBorder="1" applyAlignment="1">
      <alignment horizontal="center" vertical="center" wrapText="1"/>
    </xf>
    <xf numFmtId="0" fontId="23" fillId="2" borderId="10" xfId="0" applyFont="1" applyFill="1" applyBorder="1" applyAlignment="1">
      <alignment horizontal="center" vertical="center" wrapText="1"/>
    </xf>
    <xf numFmtId="0" fontId="23" fillId="2" borderId="29" xfId="0" applyFont="1" applyFill="1" applyBorder="1" applyAlignment="1">
      <alignment horizontal="center" vertical="center" wrapText="1"/>
    </xf>
    <xf numFmtId="0" fontId="13" fillId="0" borderId="21" xfId="5" applyBorder="1" applyAlignment="1">
      <alignment horizontal="center"/>
    </xf>
    <xf numFmtId="0" fontId="13" fillId="0" borderId="0" xfId="5" applyAlignment="1">
      <alignment horizontal="center"/>
    </xf>
    <xf numFmtId="0" fontId="13" fillId="0" borderId="19" xfId="5" applyBorder="1" applyAlignment="1">
      <alignment horizontal="center"/>
    </xf>
    <xf numFmtId="0" fontId="19" fillId="0" borderId="3" xfId="5" applyFont="1" applyBorder="1" applyAlignment="1" applyProtection="1">
      <alignment horizontal="center" vertical="center"/>
      <protection locked="0"/>
    </xf>
    <xf numFmtId="0" fontId="19" fillId="0" borderId="4" xfId="5" applyFont="1" applyBorder="1" applyAlignment="1" applyProtection="1">
      <alignment horizontal="center" vertical="center"/>
      <protection locked="0"/>
    </xf>
    <xf numFmtId="0" fontId="19" fillId="0" borderId="5" xfId="5" applyFont="1" applyBorder="1" applyAlignment="1" applyProtection="1">
      <alignment horizontal="center" vertical="center"/>
      <protection locked="0"/>
    </xf>
    <xf numFmtId="0" fontId="16" fillId="2" borderId="20" xfId="5" applyFont="1" applyFill="1" applyBorder="1" applyAlignment="1">
      <alignment horizontal="center" vertical="center" wrapText="1" readingOrder="1"/>
    </xf>
    <xf numFmtId="0" fontId="16" fillId="2" borderId="16" xfId="5" applyFont="1" applyFill="1" applyBorder="1" applyAlignment="1">
      <alignment horizontal="center" vertical="center" wrapText="1" readingOrder="1"/>
    </xf>
    <xf numFmtId="0" fontId="16" fillId="2" borderId="17" xfId="5" applyFont="1" applyFill="1" applyBorder="1" applyAlignment="1">
      <alignment horizontal="center" vertical="center" wrapText="1" readingOrder="1"/>
    </xf>
    <xf numFmtId="0" fontId="16" fillId="2" borderId="1" xfId="5" applyFont="1" applyFill="1" applyBorder="1" applyAlignment="1">
      <alignment horizontal="center" vertical="center" wrapText="1" readingOrder="1"/>
    </xf>
    <xf numFmtId="0" fontId="16" fillId="2" borderId="10" xfId="5" applyFont="1" applyFill="1" applyBorder="1" applyAlignment="1">
      <alignment horizontal="center" vertical="center" wrapText="1" readingOrder="1"/>
    </xf>
    <xf numFmtId="0" fontId="16" fillId="2" borderId="11" xfId="5" applyFont="1" applyFill="1" applyBorder="1" applyAlignment="1">
      <alignment horizontal="center" vertical="center" wrapText="1" readingOrder="1"/>
    </xf>
    <xf numFmtId="0" fontId="23" fillId="2" borderId="20" xfId="0" applyFont="1" applyFill="1" applyBorder="1" applyAlignment="1">
      <alignment horizontal="center" vertical="center" readingOrder="1"/>
    </xf>
    <xf numFmtId="0" fontId="23" fillId="2" borderId="16" xfId="0" applyFont="1" applyFill="1" applyBorder="1" applyAlignment="1">
      <alignment horizontal="center" vertical="center" readingOrder="1"/>
    </xf>
    <xf numFmtId="0" fontId="23" fillId="2" borderId="28" xfId="0" applyFont="1" applyFill="1" applyBorder="1" applyAlignment="1">
      <alignment horizontal="center" vertical="center" readingOrder="1"/>
    </xf>
    <xf numFmtId="0" fontId="23" fillId="2" borderId="1" xfId="0" applyFont="1" applyFill="1" applyBorder="1" applyAlignment="1">
      <alignment horizontal="center" vertical="center" readingOrder="1"/>
    </xf>
    <xf numFmtId="0" fontId="23" fillId="2" borderId="10" xfId="0" applyFont="1" applyFill="1" applyBorder="1" applyAlignment="1">
      <alignment horizontal="center" vertical="center" readingOrder="1"/>
    </xf>
    <xf numFmtId="0" fontId="23" fillId="2" borderId="29" xfId="0" applyFont="1" applyFill="1" applyBorder="1" applyAlignment="1">
      <alignment horizontal="center" vertical="center" readingOrder="1"/>
    </xf>
    <xf numFmtId="0" fontId="18" fillId="2" borderId="20" xfId="0" applyFont="1" applyFill="1" applyBorder="1" applyAlignment="1">
      <alignment horizontal="center" vertical="center"/>
    </xf>
    <xf numFmtId="0" fontId="18" fillId="2" borderId="16" xfId="0" applyFont="1" applyFill="1" applyBorder="1" applyAlignment="1">
      <alignment horizontal="center" vertical="center"/>
    </xf>
    <xf numFmtId="0" fontId="18" fillId="2" borderId="28" xfId="0" applyFont="1" applyFill="1" applyBorder="1" applyAlignment="1">
      <alignment horizontal="center" vertical="center"/>
    </xf>
    <xf numFmtId="0" fontId="18" fillId="2" borderId="21" xfId="0" applyFont="1" applyFill="1" applyBorder="1" applyAlignment="1">
      <alignment horizontal="center" vertical="center"/>
    </xf>
    <xf numFmtId="0" fontId="18" fillId="2" borderId="0" xfId="0" applyFont="1" applyFill="1" applyAlignment="1">
      <alignment horizontal="center" vertical="center"/>
    </xf>
    <xf numFmtId="0" fontId="18" fillId="2" borderId="30" xfId="0" applyFont="1" applyFill="1" applyBorder="1" applyAlignment="1">
      <alignment horizontal="center" vertical="center"/>
    </xf>
    <xf numFmtId="0" fontId="18" fillId="2" borderId="1" xfId="0" applyFont="1" applyFill="1" applyBorder="1" applyAlignment="1">
      <alignment horizontal="center" vertical="center"/>
    </xf>
    <xf numFmtId="0" fontId="18" fillId="2" borderId="10" xfId="0" applyFont="1" applyFill="1" applyBorder="1" applyAlignment="1">
      <alignment horizontal="center" vertical="center"/>
    </xf>
    <xf numFmtId="0" fontId="18" fillId="2" borderId="29" xfId="0" applyFont="1" applyFill="1" applyBorder="1" applyAlignment="1">
      <alignment horizontal="center" vertical="center"/>
    </xf>
    <xf numFmtId="0" fontId="19" fillId="2" borderId="1" xfId="5" applyFont="1" applyFill="1" applyBorder="1" applyAlignment="1">
      <alignment horizontal="center" vertical="center" readingOrder="1"/>
    </xf>
    <xf numFmtId="0" fontId="19" fillId="2" borderId="10" xfId="5" applyFont="1" applyFill="1" applyBorder="1" applyAlignment="1">
      <alignment horizontal="center" vertical="center" readingOrder="1"/>
    </xf>
    <xf numFmtId="0" fontId="19" fillId="2" borderId="11" xfId="5" applyFont="1" applyFill="1" applyBorder="1" applyAlignment="1">
      <alignment horizontal="center" vertical="center" readingOrder="1"/>
    </xf>
    <xf numFmtId="0" fontId="19" fillId="0" borderId="21" xfId="5" applyFont="1" applyBorder="1" applyAlignment="1" applyProtection="1">
      <alignment horizontal="center" vertical="center"/>
      <protection locked="0"/>
    </xf>
    <xf numFmtId="0" fontId="19" fillId="0" borderId="0" xfId="5" applyFont="1" applyAlignment="1" applyProtection="1">
      <alignment horizontal="center" vertical="center"/>
      <protection locked="0"/>
    </xf>
    <xf numFmtId="0" fontId="19" fillId="0" borderId="19" xfId="5" applyFont="1" applyBorder="1" applyAlignment="1" applyProtection="1">
      <alignment horizontal="center" vertical="center"/>
      <protection locked="0"/>
    </xf>
    <xf numFmtId="0" fontId="16" fillId="2" borderId="4" xfId="0" applyFont="1" applyFill="1" applyBorder="1" applyAlignment="1" applyProtection="1">
      <alignment horizontal="left" vertical="center"/>
      <protection locked="0"/>
    </xf>
    <xf numFmtId="0" fontId="20" fillId="0" borderId="10" xfId="5" applyFont="1" applyBorder="1" applyAlignment="1">
      <alignment horizontal="center" vertical="center" readingOrder="1"/>
    </xf>
    <xf numFmtId="0" fontId="20" fillId="0" borderId="11" xfId="5" applyFont="1" applyBorder="1" applyAlignment="1">
      <alignment horizontal="center" vertical="center" readingOrder="1"/>
    </xf>
    <xf numFmtId="0" fontId="31" fillId="2" borderId="35" xfId="0" applyFont="1" applyFill="1" applyBorder="1" applyAlignment="1">
      <alignment horizontal="center" vertical="center" wrapText="1"/>
    </xf>
    <xf numFmtId="0" fontId="31" fillId="2" borderId="27" xfId="0" applyFont="1" applyFill="1" applyBorder="1" applyAlignment="1">
      <alignment horizontal="center" vertical="center"/>
    </xf>
    <xf numFmtId="0" fontId="31" fillId="2" borderId="33" xfId="0" applyFont="1" applyFill="1" applyBorder="1" applyAlignment="1">
      <alignment horizontal="center" vertical="center"/>
    </xf>
    <xf numFmtId="0" fontId="31" fillId="2" borderId="18" xfId="0" applyFont="1" applyFill="1" applyBorder="1" applyAlignment="1">
      <alignment horizontal="center" vertical="center"/>
    </xf>
    <xf numFmtId="0" fontId="31" fillId="2" borderId="0" xfId="0" applyFont="1" applyFill="1" applyAlignment="1">
      <alignment horizontal="center" vertical="center"/>
    </xf>
    <xf numFmtId="0" fontId="31" fillId="2" borderId="19" xfId="0" applyFont="1" applyFill="1" applyBorder="1" applyAlignment="1">
      <alignment horizontal="center" vertical="center"/>
    </xf>
    <xf numFmtId="0" fontId="31" fillId="2" borderId="22" xfId="0" applyFont="1" applyFill="1" applyBorder="1" applyAlignment="1">
      <alignment horizontal="center" vertical="center"/>
    </xf>
    <xf numFmtId="0" fontId="31" fillId="2" borderId="23" xfId="0" applyFont="1" applyFill="1" applyBorder="1" applyAlignment="1">
      <alignment horizontal="center" vertical="center"/>
    </xf>
    <xf numFmtId="0" fontId="31" fillId="2" borderId="24" xfId="0" applyFont="1" applyFill="1" applyBorder="1" applyAlignment="1">
      <alignment horizontal="center" vertical="center"/>
    </xf>
    <xf numFmtId="0" fontId="19" fillId="0" borderId="36" xfId="0" applyFont="1" applyBorder="1" applyAlignment="1" applyProtection="1">
      <alignment horizontal="center" vertical="center"/>
      <protection locked="0"/>
    </xf>
    <xf numFmtId="0" fontId="19" fillId="0" borderId="13" xfId="0" applyFont="1" applyBorder="1" applyAlignment="1" applyProtection="1">
      <alignment horizontal="center" vertical="center"/>
      <protection locked="0"/>
    </xf>
    <xf numFmtId="0" fontId="31" fillId="2" borderId="20" xfId="0" applyFont="1" applyFill="1" applyBorder="1" applyAlignment="1">
      <alignment horizontal="center" vertical="center"/>
    </xf>
    <xf numFmtId="0" fontId="31" fillId="2" borderId="16" xfId="0" applyFont="1" applyFill="1" applyBorder="1" applyAlignment="1">
      <alignment horizontal="center" vertical="center"/>
    </xf>
    <xf numFmtId="0" fontId="31" fillId="2" borderId="17" xfId="0" applyFont="1" applyFill="1" applyBorder="1" applyAlignment="1">
      <alignment horizontal="center" vertical="center"/>
    </xf>
    <xf numFmtId="0" fontId="31" fillId="2" borderId="26" xfId="0" applyFont="1" applyFill="1" applyBorder="1" applyAlignment="1">
      <alignment horizontal="center" vertical="center"/>
    </xf>
    <xf numFmtId="0" fontId="31" fillId="2" borderId="20" xfId="0" applyFont="1" applyFill="1" applyBorder="1" applyAlignment="1">
      <alignment horizontal="center" vertical="center" wrapText="1"/>
    </xf>
    <xf numFmtId="0" fontId="31" fillId="0" borderId="20" xfId="0" applyFont="1" applyBorder="1" applyAlignment="1">
      <alignment horizontal="center" vertical="center"/>
    </xf>
    <xf numFmtId="0" fontId="31" fillId="0" borderId="16" xfId="0" applyFont="1" applyBorder="1" applyAlignment="1">
      <alignment horizontal="center" vertical="center"/>
    </xf>
    <xf numFmtId="0" fontId="31" fillId="0" borderId="17" xfId="0" applyFont="1" applyBorder="1" applyAlignment="1">
      <alignment horizontal="center" vertical="center"/>
    </xf>
    <xf numFmtId="0" fontId="31" fillId="0" borderId="26" xfId="0" applyFont="1" applyBorder="1" applyAlignment="1">
      <alignment horizontal="center" vertical="center"/>
    </xf>
    <xf numFmtId="0" fontId="31" fillId="0" borderId="23" xfId="0" applyFont="1" applyBorder="1" applyAlignment="1">
      <alignment horizontal="center" vertical="center"/>
    </xf>
    <xf numFmtId="0" fontId="31" fillId="0" borderId="24" xfId="0" applyFont="1" applyBorder="1" applyAlignment="1">
      <alignment horizontal="center" vertical="center"/>
    </xf>
    <xf numFmtId="0" fontId="27" fillId="0" borderId="32" xfId="0" applyFont="1" applyBorder="1" applyAlignment="1">
      <alignment horizontal="center" vertical="center" textRotation="90"/>
    </xf>
    <xf numFmtId="0" fontId="27" fillId="0" borderId="27" xfId="0" applyFont="1" applyBorder="1" applyAlignment="1">
      <alignment horizontal="center" vertical="center" textRotation="90"/>
    </xf>
    <xf numFmtId="0" fontId="27" fillId="0" borderId="33" xfId="0" applyFont="1" applyBorder="1" applyAlignment="1">
      <alignment horizontal="center" vertical="center" textRotation="90"/>
    </xf>
    <xf numFmtId="0" fontId="27" fillId="0" borderId="21" xfId="0" applyFont="1" applyBorder="1" applyAlignment="1">
      <alignment horizontal="center" vertical="center" textRotation="90"/>
    </xf>
    <xf numFmtId="0" fontId="27" fillId="0" borderId="0" xfId="0" applyFont="1" applyAlignment="1">
      <alignment horizontal="center" vertical="center" textRotation="90"/>
    </xf>
    <xf numFmtId="0" fontId="27" fillId="0" borderId="19" xfId="0" applyFont="1" applyBorder="1" applyAlignment="1">
      <alignment horizontal="center" vertical="center" textRotation="90"/>
    </xf>
    <xf numFmtId="0" fontId="27" fillId="0" borderId="26" xfId="0" applyFont="1" applyBorder="1" applyAlignment="1">
      <alignment horizontal="center" vertical="center" textRotation="90"/>
    </xf>
    <xf numFmtId="0" fontId="27" fillId="0" borderId="23" xfId="0" applyFont="1" applyBorder="1" applyAlignment="1">
      <alignment horizontal="center" vertical="center" textRotation="90"/>
    </xf>
    <xf numFmtId="0" fontId="27" fillId="0" borderId="24" xfId="0" applyFont="1" applyBorder="1" applyAlignment="1">
      <alignment horizontal="center" vertical="center" textRotation="90"/>
    </xf>
    <xf numFmtId="0" fontId="32" fillId="0" borderId="32" xfId="0" applyFont="1" applyBorder="1" applyAlignment="1">
      <alignment horizontal="center" vertical="center" wrapText="1"/>
    </xf>
    <xf numFmtId="0" fontId="32" fillId="0" borderId="27" xfId="0" applyFont="1" applyBorder="1" applyAlignment="1">
      <alignment horizontal="center" vertical="center"/>
    </xf>
    <xf numFmtId="0" fontId="32" fillId="0" borderId="33" xfId="0" applyFont="1" applyBorder="1" applyAlignment="1">
      <alignment horizontal="center" vertical="center"/>
    </xf>
    <xf numFmtId="0" fontId="32" fillId="0" borderId="1" xfId="0" applyFont="1" applyBorder="1" applyAlignment="1">
      <alignment horizontal="center" vertical="center"/>
    </xf>
    <xf numFmtId="0" fontId="32" fillId="0" borderId="10" xfId="0" applyFont="1" applyBorder="1" applyAlignment="1">
      <alignment horizontal="center" vertical="center"/>
    </xf>
    <xf numFmtId="0" fontId="32" fillId="0" borderId="11" xfId="0" applyFont="1" applyBorder="1" applyAlignment="1">
      <alignment horizontal="center" vertical="center"/>
    </xf>
    <xf numFmtId="0" fontId="23" fillId="2" borderId="32" xfId="0" applyFont="1" applyFill="1" applyBorder="1" applyAlignment="1">
      <alignment horizontal="center" vertical="center"/>
    </xf>
    <xf numFmtId="0" fontId="23" fillId="2" borderId="27" xfId="0" applyFont="1" applyFill="1" applyBorder="1" applyAlignment="1">
      <alignment horizontal="center" vertical="center"/>
    </xf>
    <xf numFmtId="0" fontId="23" fillId="2" borderId="33" xfId="0" applyFont="1" applyFill="1" applyBorder="1" applyAlignment="1">
      <alignment horizontal="center" vertical="center"/>
    </xf>
    <xf numFmtId="0" fontId="23" fillId="2" borderId="1"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11" xfId="0" applyFont="1" applyFill="1" applyBorder="1" applyAlignment="1">
      <alignment horizontal="center" vertical="center"/>
    </xf>
    <xf numFmtId="0" fontId="27" fillId="0" borderId="20" xfId="0" applyFont="1" applyBorder="1" applyAlignment="1">
      <alignment horizontal="center" vertical="center" textRotation="90"/>
    </xf>
    <xf numFmtId="0" fontId="27" fillId="0" borderId="16" xfId="0" applyFont="1" applyBorder="1" applyAlignment="1" applyProtection="1">
      <alignment horizontal="center" vertical="center" textRotation="90"/>
      <protection locked="0"/>
    </xf>
    <xf numFmtId="0" fontId="27" fillId="0" borderId="17" xfId="0" applyFont="1" applyBorder="1" applyAlignment="1" applyProtection="1">
      <alignment horizontal="center" vertical="center" textRotation="90"/>
      <protection locked="0"/>
    </xf>
    <xf numFmtId="0" fontId="27" fillId="0" borderId="23" xfId="0" applyFont="1" applyBorder="1" applyAlignment="1" applyProtection="1">
      <alignment horizontal="center" vertical="center" textRotation="90"/>
      <protection locked="0"/>
    </xf>
    <xf numFmtId="0" fontId="27" fillId="0" borderId="24" xfId="0" applyFont="1" applyBorder="1" applyAlignment="1" applyProtection="1">
      <alignment horizontal="center" vertical="center" textRotation="90"/>
      <protection locked="0"/>
    </xf>
    <xf numFmtId="0" fontId="27" fillId="0" borderId="20" xfId="0" applyFont="1" applyBorder="1" applyAlignment="1">
      <alignment horizontal="center" vertical="center" textRotation="90" wrapText="1"/>
    </xf>
    <xf numFmtId="0" fontId="27" fillId="0" borderId="32" xfId="0" applyFont="1" applyBorder="1" applyAlignment="1" applyProtection="1">
      <alignment horizontal="center" vertical="center" textRotation="90" wrapText="1"/>
      <protection locked="0"/>
    </xf>
    <xf numFmtId="0" fontId="27" fillId="0" borderId="27" xfId="0" applyFont="1" applyBorder="1" applyAlignment="1" applyProtection="1">
      <alignment horizontal="center" vertical="center" textRotation="90"/>
      <protection locked="0"/>
    </xf>
    <xf numFmtId="0" fontId="27" fillId="0" borderId="33" xfId="0" applyFont="1" applyBorder="1" applyAlignment="1" applyProtection="1">
      <alignment horizontal="center" vertical="center" textRotation="90"/>
      <protection locked="0"/>
    </xf>
    <xf numFmtId="0" fontId="27" fillId="0" borderId="21" xfId="0" applyFont="1" applyBorder="1" applyAlignment="1" applyProtection="1">
      <alignment horizontal="center" vertical="center" textRotation="90"/>
      <protection locked="0"/>
    </xf>
    <xf numFmtId="0" fontId="27" fillId="0" borderId="0" xfId="0" applyFont="1" applyAlignment="1" applyProtection="1">
      <alignment horizontal="center" vertical="center" textRotation="90"/>
      <protection locked="0"/>
    </xf>
    <xf numFmtId="0" fontId="27" fillId="0" borderId="19" xfId="0" applyFont="1" applyBorder="1" applyAlignment="1" applyProtection="1">
      <alignment horizontal="center" vertical="center" textRotation="90"/>
      <protection locked="0"/>
    </xf>
    <xf numFmtId="0" fontId="27" fillId="0" borderId="26" xfId="0" applyFont="1" applyBorder="1" applyAlignment="1" applyProtection="1">
      <alignment horizontal="center" vertical="center" textRotation="90"/>
      <protection locked="0"/>
    </xf>
    <xf numFmtId="0" fontId="27" fillId="0" borderId="34" xfId="0" applyFont="1" applyBorder="1" applyAlignment="1" applyProtection="1">
      <alignment horizontal="center" vertical="center" textRotation="90"/>
      <protection locked="0"/>
    </xf>
    <xf numFmtId="0" fontId="27" fillId="0" borderId="30" xfId="0" applyFont="1" applyBorder="1" applyAlignment="1" applyProtection="1">
      <alignment horizontal="center" vertical="center" textRotation="90"/>
      <protection locked="0"/>
    </xf>
    <xf numFmtId="0" fontId="27" fillId="0" borderId="31" xfId="0" applyFont="1" applyBorder="1" applyAlignment="1" applyProtection="1">
      <alignment horizontal="center" vertical="center" textRotation="90"/>
      <protection locked="0"/>
    </xf>
    <xf numFmtId="0" fontId="28" fillId="2" borderId="0" xfId="0" applyFont="1" applyFill="1" applyAlignment="1">
      <alignment horizontal="right" vertical="top" readingOrder="1"/>
    </xf>
    <xf numFmtId="0" fontId="18" fillId="2" borderId="17" xfId="0" applyFont="1" applyFill="1" applyBorder="1" applyAlignment="1">
      <alignment horizontal="center" vertical="center"/>
    </xf>
    <xf numFmtId="0" fontId="18" fillId="2" borderId="19" xfId="0" applyFont="1" applyFill="1" applyBorder="1" applyAlignment="1">
      <alignment horizontal="center" vertical="center"/>
    </xf>
    <xf numFmtId="0" fontId="18" fillId="2" borderId="11" xfId="0" applyFont="1" applyFill="1" applyBorder="1" applyAlignment="1">
      <alignment horizontal="center" vertical="center"/>
    </xf>
    <xf numFmtId="0" fontId="16" fillId="2" borderId="4" xfId="0" applyFont="1" applyFill="1" applyBorder="1" applyAlignment="1" applyProtection="1">
      <alignment horizontal="center" vertical="center"/>
      <protection locked="0"/>
    </xf>
    <xf numFmtId="0" fontId="16" fillId="2" borderId="6" xfId="0" applyFont="1" applyFill="1" applyBorder="1" applyAlignment="1" applyProtection="1">
      <alignment horizontal="center" vertical="center"/>
      <protection locked="0"/>
    </xf>
    <xf numFmtId="164" fontId="23" fillId="2" borderId="20" xfId="0" applyNumberFormat="1" applyFont="1" applyFill="1" applyBorder="1" applyAlignment="1" applyProtection="1">
      <alignment horizontal="center" vertical="center"/>
      <protection locked="0"/>
    </xf>
    <xf numFmtId="164" fontId="23" fillId="2" borderId="16" xfId="0" applyNumberFormat="1" applyFont="1" applyFill="1" applyBorder="1" applyAlignment="1" applyProtection="1">
      <alignment horizontal="center" vertical="center"/>
      <protection locked="0"/>
    </xf>
    <xf numFmtId="164" fontId="23" fillId="2" borderId="17" xfId="0" applyNumberFormat="1" applyFont="1" applyFill="1" applyBorder="1" applyAlignment="1" applyProtection="1">
      <alignment horizontal="center" vertical="center"/>
      <protection locked="0"/>
    </xf>
    <xf numFmtId="164" fontId="23" fillId="2" borderId="21" xfId="0" applyNumberFormat="1" applyFont="1" applyFill="1" applyBorder="1" applyAlignment="1" applyProtection="1">
      <alignment horizontal="center" vertical="center"/>
      <protection locked="0"/>
    </xf>
    <xf numFmtId="164" fontId="23" fillId="2" borderId="0" xfId="0" applyNumberFormat="1" applyFont="1" applyFill="1" applyAlignment="1" applyProtection="1">
      <alignment horizontal="center" vertical="center"/>
      <protection locked="0"/>
    </xf>
    <xf numFmtId="164" fontId="23" fillId="2" borderId="19" xfId="0" applyNumberFormat="1" applyFont="1" applyFill="1" applyBorder="1" applyAlignment="1" applyProtection="1">
      <alignment horizontal="center" vertical="center"/>
      <protection locked="0"/>
    </xf>
    <xf numFmtId="164" fontId="23" fillId="2" borderId="26" xfId="0" applyNumberFormat="1" applyFont="1" applyFill="1" applyBorder="1" applyAlignment="1" applyProtection="1">
      <alignment horizontal="center" vertical="center"/>
      <protection locked="0"/>
    </xf>
    <xf numFmtId="164" fontId="23" fillId="2" borderId="23" xfId="0" applyNumberFormat="1" applyFont="1" applyFill="1" applyBorder="1" applyAlignment="1" applyProtection="1">
      <alignment horizontal="center" vertical="center"/>
      <protection locked="0"/>
    </xf>
    <xf numFmtId="164" fontId="23" fillId="2" borderId="24" xfId="0" applyNumberFormat="1" applyFont="1" applyFill="1" applyBorder="1" applyAlignment="1" applyProtection="1">
      <alignment horizontal="center" vertical="center"/>
      <protection locked="0"/>
    </xf>
    <xf numFmtId="0" fontId="22" fillId="0" borderId="20" xfId="0" applyFont="1" applyBorder="1" applyAlignment="1">
      <alignment horizontal="center" vertical="center"/>
    </xf>
    <xf numFmtId="0" fontId="22" fillId="0" borderId="16" xfId="0" applyFont="1" applyBorder="1" applyAlignment="1">
      <alignment horizontal="center" vertical="center"/>
    </xf>
    <xf numFmtId="0" fontId="22" fillId="0" borderId="17" xfId="0" applyFont="1" applyBorder="1" applyAlignment="1">
      <alignment horizontal="center" vertical="center"/>
    </xf>
    <xf numFmtId="0" fontId="22" fillId="0" borderId="21" xfId="0" applyFont="1" applyBorder="1" applyAlignment="1">
      <alignment horizontal="center" vertical="center"/>
    </xf>
    <xf numFmtId="0" fontId="22" fillId="0" borderId="0" xfId="0" applyFont="1" applyAlignment="1">
      <alignment horizontal="center" vertical="center"/>
    </xf>
    <xf numFmtId="0" fontId="22" fillId="0" borderId="19" xfId="0" applyFont="1" applyBorder="1" applyAlignment="1">
      <alignment horizontal="center" vertical="center"/>
    </xf>
    <xf numFmtId="0" fontId="22" fillId="0" borderId="26" xfId="0" applyFont="1" applyBorder="1" applyAlignment="1">
      <alignment horizontal="center" vertical="center"/>
    </xf>
    <xf numFmtId="0" fontId="22" fillId="0" borderId="23" xfId="0" applyFont="1" applyBorder="1" applyAlignment="1">
      <alignment horizontal="center" vertical="center"/>
    </xf>
    <xf numFmtId="0" fontId="22" fillId="0" borderId="24" xfId="0" applyFont="1" applyBorder="1" applyAlignment="1">
      <alignment horizontal="center" vertical="center"/>
    </xf>
    <xf numFmtId="0" fontId="20" fillId="2" borderId="3" xfId="0" applyFont="1" applyFill="1" applyBorder="1" applyAlignment="1">
      <alignment horizontal="center" vertical="center"/>
    </xf>
    <xf numFmtId="0" fontId="20" fillId="2" borderId="4" xfId="0" applyFont="1" applyFill="1" applyBorder="1" applyAlignment="1">
      <alignment horizontal="center" vertical="center"/>
    </xf>
    <xf numFmtId="0" fontId="20" fillId="2" borderId="6" xfId="0" applyFont="1" applyFill="1" applyBorder="1" applyAlignment="1">
      <alignment horizontal="center" vertical="center"/>
    </xf>
    <xf numFmtId="0" fontId="22" fillId="0" borderId="16" xfId="0" applyFont="1" applyBorder="1" applyAlignment="1">
      <alignment horizontal="center" vertical="center" wrapText="1"/>
    </xf>
    <xf numFmtId="0" fontId="22" fillId="0" borderId="10" xfId="0" applyFont="1" applyBorder="1" applyAlignment="1">
      <alignment horizontal="center" vertical="center" wrapText="1"/>
    </xf>
    <xf numFmtId="0" fontId="27" fillId="0" borderId="20" xfId="0" applyFont="1" applyBorder="1" applyAlignment="1" applyProtection="1">
      <alignment horizontal="center" vertical="center" wrapText="1"/>
      <protection locked="0"/>
    </xf>
    <xf numFmtId="0" fontId="27" fillId="0" borderId="16" xfId="0" applyFont="1" applyBorder="1" applyAlignment="1" applyProtection="1">
      <alignment horizontal="center" vertical="center"/>
      <protection locked="0"/>
    </xf>
    <xf numFmtId="0" fontId="27" fillId="0" borderId="17" xfId="0" applyFont="1" applyBorder="1" applyAlignment="1" applyProtection="1">
      <alignment horizontal="center" vertical="center"/>
      <protection locked="0"/>
    </xf>
    <xf numFmtId="0" fontId="27" fillId="0" borderId="26" xfId="0" applyFont="1" applyBorder="1" applyAlignment="1" applyProtection="1">
      <alignment horizontal="center" vertical="center"/>
      <protection locked="0"/>
    </xf>
    <xf numFmtId="0" fontId="27" fillId="0" borderId="23" xfId="0" applyFont="1" applyBorder="1" applyAlignment="1" applyProtection="1">
      <alignment horizontal="center" vertical="center"/>
      <protection locked="0"/>
    </xf>
    <xf numFmtId="0" fontId="27" fillId="0" borderId="24" xfId="0" applyFont="1" applyBorder="1" applyAlignment="1" applyProtection="1">
      <alignment horizontal="center" vertical="center"/>
      <protection locked="0"/>
    </xf>
    <xf numFmtId="0" fontId="27" fillId="0" borderId="20" xfId="0" applyFont="1" applyBorder="1" applyAlignment="1" applyProtection="1">
      <alignment horizontal="center" vertical="center" textRotation="90" wrapText="1"/>
      <protection locked="0"/>
    </xf>
    <xf numFmtId="0" fontId="27" fillId="0" borderId="20" xfId="0" applyFont="1" applyBorder="1" applyAlignment="1">
      <alignment horizontal="center" vertical="center" wrapText="1"/>
    </xf>
    <xf numFmtId="0" fontId="27" fillId="0" borderId="16" xfId="0" applyFont="1" applyBorder="1" applyAlignment="1">
      <alignment horizontal="center" vertical="center"/>
    </xf>
    <xf numFmtId="0" fontId="27" fillId="0" borderId="17" xfId="0" applyFont="1" applyBorder="1" applyAlignment="1">
      <alignment horizontal="center" vertical="center"/>
    </xf>
    <xf numFmtId="0" fontId="27" fillId="0" borderId="26" xfId="0" applyFont="1" applyBorder="1" applyAlignment="1">
      <alignment horizontal="center" vertical="center"/>
    </xf>
    <xf numFmtId="0" fontId="27" fillId="0" borderId="23" xfId="0" applyFont="1" applyBorder="1" applyAlignment="1">
      <alignment horizontal="center" vertical="center"/>
    </xf>
    <xf numFmtId="0" fontId="27" fillId="0" borderId="24" xfId="0" applyFont="1" applyBorder="1" applyAlignment="1">
      <alignment horizontal="center" vertical="center"/>
    </xf>
    <xf numFmtId="0" fontId="29" fillId="0" borderId="26" xfId="0" applyFont="1" applyBorder="1" applyAlignment="1" applyProtection="1">
      <alignment horizontal="right" vertical="center" readingOrder="1"/>
      <protection locked="0"/>
    </xf>
    <xf numFmtId="0" fontId="29" fillId="0" borderId="23" xfId="0" applyFont="1" applyBorder="1" applyAlignment="1" applyProtection="1">
      <alignment horizontal="right" vertical="center" readingOrder="1"/>
      <protection locked="0"/>
    </xf>
    <xf numFmtId="0" fontId="29" fillId="0" borderId="24" xfId="0" applyFont="1" applyBorder="1" applyAlignment="1" applyProtection="1">
      <alignment horizontal="right" vertical="center" readingOrder="1"/>
      <protection locked="0"/>
    </xf>
    <xf numFmtId="0" fontId="30" fillId="0" borderId="32" xfId="0" applyFont="1" applyBorder="1" applyAlignment="1">
      <alignment horizontal="center" vertical="center" wrapText="1"/>
    </xf>
    <xf numFmtId="0" fontId="30" fillId="0" borderId="27" xfId="0" applyFont="1" applyBorder="1" applyAlignment="1">
      <alignment horizontal="center" vertical="center"/>
    </xf>
    <xf numFmtId="0" fontId="30" fillId="0" borderId="33" xfId="0" applyFont="1" applyBorder="1" applyAlignment="1">
      <alignment horizontal="center" vertical="center"/>
    </xf>
    <xf numFmtId="0" fontId="30" fillId="0" borderId="1" xfId="0" applyFont="1" applyBorder="1" applyAlignment="1">
      <alignment horizontal="center" vertical="center"/>
    </xf>
    <xf numFmtId="0" fontId="30" fillId="0" borderId="10" xfId="0" applyFont="1" applyBorder="1" applyAlignment="1">
      <alignment horizontal="center" vertical="center"/>
    </xf>
    <xf numFmtId="0" fontId="30" fillId="0" borderId="11" xfId="0" applyFont="1" applyBorder="1" applyAlignment="1">
      <alignment horizontal="center" vertical="center"/>
    </xf>
    <xf numFmtId="0" fontId="29" fillId="0" borderId="20" xfId="0" applyFont="1" applyBorder="1" applyAlignment="1">
      <alignment horizontal="left" vertical="center" readingOrder="1"/>
    </xf>
    <xf numFmtId="0" fontId="29" fillId="0" borderId="16" xfId="0" applyFont="1" applyBorder="1" applyAlignment="1">
      <alignment horizontal="left" vertical="center" readingOrder="1"/>
    </xf>
    <xf numFmtId="0" fontId="29" fillId="0" borderId="17" xfId="0" applyFont="1" applyBorder="1" applyAlignment="1">
      <alignment horizontal="left" vertical="center" readingOrder="1"/>
    </xf>
    <xf numFmtId="0" fontId="25" fillId="0" borderId="32" xfId="0" applyFont="1" applyBorder="1" applyAlignment="1">
      <alignment horizontal="center" vertical="center"/>
    </xf>
    <xf numFmtId="0" fontId="25" fillId="0" borderId="27" xfId="0" applyFont="1" applyBorder="1" applyAlignment="1">
      <alignment horizontal="center" vertical="center"/>
    </xf>
    <xf numFmtId="0" fontId="25" fillId="0" borderId="33" xfId="0" applyFont="1" applyBorder="1" applyAlignment="1">
      <alignment horizontal="center" vertical="center"/>
    </xf>
    <xf numFmtId="0" fontId="25" fillId="0" borderId="1" xfId="0" applyFont="1" applyBorder="1" applyAlignment="1">
      <alignment horizontal="center" vertical="center"/>
    </xf>
    <xf numFmtId="0" fontId="25" fillId="0" borderId="10" xfId="0" applyFont="1" applyBorder="1" applyAlignment="1">
      <alignment horizontal="center" vertical="center"/>
    </xf>
    <xf numFmtId="0" fontId="25" fillId="0" borderId="11" xfId="0" applyFont="1" applyBorder="1" applyAlignment="1">
      <alignment horizontal="center" vertical="center"/>
    </xf>
    <xf numFmtId="0" fontId="27" fillId="0" borderId="16" xfId="0" applyFont="1" applyBorder="1" applyAlignment="1">
      <alignment horizontal="center" vertical="center" textRotation="90"/>
    </xf>
    <xf numFmtId="0" fontId="27" fillId="0" borderId="17" xfId="0" applyFont="1" applyBorder="1" applyAlignment="1">
      <alignment horizontal="center" vertical="center" textRotation="90"/>
    </xf>
    <xf numFmtId="0" fontId="19" fillId="2" borderId="20" xfId="5" applyFont="1" applyFill="1" applyBorder="1" applyAlignment="1">
      <alignment horizontal="left" vertical="center"/>
    </xf>
    <xf numFmtId="0" fontId="19" fillId="2" borderId="16" xfId="5" applyFont="1" applyFill="1" applyBorder="1" applyAlignment="1">
      <alignment horizontal="left" vertical="center"/>
    </xf>
    <xf numFmtId="0" fontId="19" fillId="2" borderId="17" xfId="5" applyFont="1" applyFill="1" applyBorder="1" applyAlignment="1">
      <alignment horizontal="left" vertical="center"/>
    </xf>
    <xf numFmtId="0" fontId="20" fillId="0" borderId="20" xfId="5" applyFont="1" applyBorder="1" applyAlignment="1">
      <alignment horizontal="center" vertical="center" wrapText="1"/>
    </xf>
    <xf numFmtId="0" fontId="20" fillId="0" borderId="16" xfId="5" applyFont="1" applyBorder="1" applyAlignment="1">
      <alignment horizontal="center" vertical="center" wrapText="1"/>
    </xf>
    <xf numFmtId="0" fontId="20" fillId="0" borderId="17" xfId="5" applyFont="1" applyBorder="1" applyAlignment="1">
      <alignment horizontal="center" vertical="center" wrapText="1"/>
    </xf>
    <xf numFmtId="0" fontId="20" fillId="0" borderId="26" xfId="5" applyFont="1" applyBorder="1" applyAlignment="1">
      <alignment horizontal="center" vertical="center" wrapText="1"/>
    </xf>
    <xf numFmtId="0" fontId="20" fillId="0" borderId="23" xfId="5" applyFont="1" applyBorder="1" applyAlignment="1">
      <alignment horizontal="center" vertical="center" wrapText="1"/>
    </xf>
    <xf numFmtId="0" fontId="20" fillId="0" borderId="24" xfId="5" applyFont="1" applyBorder="1" applyAlignment="1">
      <alignment horizontal="center" vertical="center" wrapText="1"/>
    </xf>
    <xf numFmtId="14" fontId="19" fillId="0" borderId="1" xfId="5" applyNumberFormat="1" applyFont="1" applyBorder="1" applyAlignment="1" applyProtection="1">
      <alignment horizontal="center" vertical="center"/>
      <protection locked="0"/>
    </xf>
    <xf numFmtId="0" fontId="19" fillId="0" borderId="10" xfId="5" applyFont="1" applyBorder="1" applyAlignment="1" applyProtection="1">
      <alignment horizontal="center" vertical="center"/>
      <protection locked="0"/>
    </xf>
    <xf numFmtId="0" fontId="19" fillId="0" borderId="11" xfId="5" applyFont="1" applyBorder="1" applyAlignment="1" applyProtection="1">
      <alignment horizontal="center" vertical="center"/>
      <protection locked="0"/>
    </xf>
    <xf numFmtId="0" fontId="20" fillId="2" borderId="20" xfId="5" applyFont="1" applyFill="1" applyBorder="1" applyAlignment="1">
      <alignment horizontal="center" vertical="center" readingOrder="1"/>
    </xf>
    <xf numFmtId="0" fontId="20" fillId="2" borderId="16" xfId="5" applyFont="1" applyFill="1" applyBorder="1" applyAlignment="1">
      <alignment horizontal="center" vertical="center" readingOrder="1"/>
    </xf>
    <xf numFmtId="0" fontId="19" fillId="0" borderId="1" xfId="5" applyFont="1" applyBorder="1" applyAlignment="1" applyProtection="1">
      <alignment horizontal="center" vertical="center"/>
      <protection locked="0"/>
    </xf>
    <xf numFmtId="0" fontId="19" fillId="2" borderId="3" xfId="0" applyFont="1" applyFill="1" applyBorder="1" applyAlignment="1">
      <alignment horizontal="center" vertical="center"/>
    </xf>
    <xf numFmtId="0" fontId="19" fillId="2" borderId="4" xfId="0" applyFont="1" applyFill="1" applyBorder="1" applyAlignment="1">
      <alignment horizontal="center" vertical="center"/>
    </xf>
    <xf numFmtId="0" fontId="19" fillId="2" borderId="5" xfId="0" applyFont="1" applyFill="1" applyBorder="1" applyAlignment="1">
      <alignment horizontal="center" vertical="center"/>
    </xf>
    <xf numFmtId="0" fontId="20" fillId="2" borderId="27" xfId="0" applyFont="1" applyFill="1" applyBorder="1" applyAlignment="1">
      <alignment horizontal="center" vertical="center" readingOrder="1"/>
    </xf>
    <xf numFmtId="0" fontId="18" fillId="0" borderId="16" xfId="0" applyFont="1" applyBorder="1" applyAlignment="1">
      <alignment horizontal="center" vertical="center"/>
    </xf>
    <xf numFmtId="0" fontId="18" fillId="0" borderId="17" xfId="0" applyFont="1" applyBorder="1" applyAlignment="1">
      <alignment horizontal="center" vertical="center"/>
    </xf>
    <xf numFmtId="0" fontId="18" fillId="0" borderId="0" xfId="0" applyFont="1" applyAlignment="1">
      <alignment horizontal="center" vertical="center"/>
    </xf>
    <xf numFmtId="0" fontId="18" fillId="0" borderId="19" xfId="0" applyFont="1" applyBorder="1" applyAlignment="1">
      <alignment horizontal="center" vertical="center"/>
    </xf>
    <xf numFmtId="0" fontId="18" fillId="0" borderId="10" xfId="0" applyFont="1" applyBorder="1" applyAlignment="1">
      <alignment horizontal="center" vertical="center"/>
    </xf>
    <xf numFmtId="0" fontId="18" fillId="0" borderId="11" xfId="0" applyFont="1" applyBorder="1" applyAlignment="1">
      <alignment horizontal="center" vertical="center"/>
    </xf>
    <xf numFmtId="0" fontId="19" fillId="0" borderId="16" xfId="0" applyFont="1" applyBorder="1" applyAlignment="1" applyProtection="1">
      <alignment horizontal="left" vertical="center"/>
      <protection locked="0"/>
    </xf>
    <xf numFmtId="0" fontId="19" fillId="0" borderId="10" xfId="0" applyFont="1" applyBorder="1" applyAlignment="1" applyProtection="1">
      <alignment horizontal="left" vertical="center"/>
      <protection locked="0"/>
    </xf>
    <xf numFmtId="0" fontId="19" fillId="0" borderId="28" xfId="0" applyFont="1" applyBorder="1" applyAlignment="1" applyProtection="1">
      <alignment horizontal="left" vertical="center"/>
      <protection locked="0"/>
    </xf>
    <xf numFmtId="0" fontId="19" fillId="0" borderId="29" xfId="0" applyFont="1" applyBorder="1" applyAlignment="1" applyProtection="1">
      <alignment horizontal="left" vertical="center"/>
      <protection locked="0"/>
    </xf>
    <xf numFmtId="0" fontId="23" fillId="0" borderId="20" xfId="0" applyFont="1" applyBorder="1" applyAlignment="1" applyProtection="1">
      <alignment horizontal="center" vertical="center"/>
      <protection locked="0"/>
    </xf>
    <xf numFmtId="0" fontId="23" fillId="0" borderId="16" xfId="0" applyFont="1" applyBorder="1" applyAlignment="1" applyProtection="1">
      <alignment horizontal="center" vertical="center"/>
      <protection locked="0"/>
    </xf>
    <xf numFmtId="0" fontId="23" fillId="0" borderId="17" xfId="0" applyFont="1" applyBorder="1" applyAlignment="1" applyProtection="1">
      <alignment horizontal="center" vertical="center"/>
      <protection locked="0"/>
    </xf>
    <xf numFmtId="0" fontId="23" fillId="0" borderId="21" xfId="0" applyFont="1" applyBorder="1" applyAlignment="1" applyProtection="1">
      <alignment horizontal="center" vertical="center"/>
      <protection locked="0"/>
    </xf>
    <xf numFmtId="0" fontId="23" fillId="0" borderId="0" xfId="0" applyFont="1" applyAlignment="1" applyProtection="1">
      <alignment horizontal="center" vertical="center"/>
      <protection locked="0"/>
    </xf>
    <xf numFmtId="0" fontId="23" fillId="0" borderId="19" xfId="0" applyFont="1" applyBorder="1" applyAlignment="1" applyProtection="1">
      <alignment horizontal="center" vertical="center"/>
      <protection locked="0"/>
    </xf>
    <xf numFmtId="0" fontId="23" fillId="0" borderId="26" xfId="0" applyFont="1" applyBorder="1" applyAlignment="1" applyProtection="1">
      <alignment horizontal="center" vertical="center"/>
      <protection locked="0"/>
    </xf>
    <xf numFmtId="0" fontId="23" fillId="0" borderId="23" xfId="0" applyFont="1" applyBorder="1" applyAlignment="1" applyProtection="1">
      <alignment horizontal="center" vertical="center"/>
      <protection locked="0"/>
    </xf>
    <xf numFmtId="0" fontId="23" fillId="0" borderId="24" xfId="0" applyFont="1" applyBorder="1" applyAlignment="1" applyProtection="1">
      <alignment horizontal="center" vertical="center"/>
      <protection locked="0"/>
    </xf>
    <xf numFmtId="0" fontId="24" fillId="2" borderId="16" xfId="0" applyFont="1" applyFill="1" applyBorder="1" applyAlignment="1">
      <alignment horizontal="center" vertical="center" wrapText="1"/>
    </xf>
    <xf numFmtId="0" fontId="24" fillId="2" borderId="17" xfId="0" applyFont="1" applyFill="1" applyBorder="1" applyAlignment="1">
      <alignment horizontal="center" vertical="center" wrapText="1"/>
    </xf>
    <xf numFmtId="0" fontId="24" fillId="2" borderId="0" xfId="0" applyFont="1" applyFill="1" applyAlignment="1">
      <alignment horizontal="center" vertical="center" wrapText="1"/>
    </xf>
    <xf numFmtId="0" fontId="24" fillId="2" borderId="19" xfId="0" applyFont="1" applyFill="1" applyBorder="1" applyAlignment="1">
      <alignment horizontal="center" vertical="center" wrapText="1"/>
    </xf>
    <xf numFmtId="0" fontId="24" fillId="2" borderId="10" xfId="0" applyFont="1" applyFill="1" applyBorder="1" applyAlignment="1">
      <alignment horizontal="center" vertical="center" wrapText="1"/>
    </xf>
    <xf numFmtId="0" fontId="24" fillId="2" borderId="11" xfId="0" applyFont="1" applyFill="1" applyBorder="1" applyAlignment="1">
      <alignment horizontal="center" vertical="center" wrapText="1"/>
    </xf>
    <xf numFmtId="165" fontId="23" fillId="2" borderId="20" xfId="0" applyNumberFormat="1" applyFont="1" applyFill="1" applyBorder="1" applyAlignment="1" applyProtection="1">
      <alignment horizontal="center" vertical="center"/>
      <protection locked="0"/>
    </xf>
    <xf numFmtId="165" fontId="23" fillId="2" borderId="16" xfId="0" applyNumberFormat="1" applyFont="1" applyFill="1" applyBorder="1" applyAlignment="1" applyProtection="1">
      <alignment horizontal="center" vertical="center"/>
      <protection locked="0"/>
    </xf>
    <xf numFmtId="165" fontId="23" fillId="2" borderId="28" xfId="0" applyNumberFormat="1" applyFont="1" applyFill="1" applyBorder="1" applyAlignment="1" applyProtection="1">
      <alignment horizontal="center" vertical="center"/>
      <protection locked="0"/>
    </xf>
    <xf numFmtId="165" fontId="23" fillId="2" borderId="21" xfId="0" applyNumberFormat="1" applyFont="1" applyFill="1" applyBorder="1" applyAlignment="1" applyProtection="1">
      <alignment horizontal="center" vertical="center"/>
      <protection locked="0"/>
    </xf>
    <xf numFmtId="165" fontId="23" fillId="2" borderId="0" xfId="0" applyNumberFormat="1" applyFont="1" applyFill="1" applyAlignment="1" applyProtection="1">
      <alignment horizontal="center" vertical="center"/>
      <protection locked="0"/>
    </xf>
    <xf numFmtId="165" fontId="23" fillId="2" borderId="30" xfId="0" applyNumberFormat="1" applyFont="1" applyFill="1" applyBorder="1" applyAlignment="1" applyProtection="1">
      <alignment horizontal="center" vertical="center"/>
      <protection locked="0"/>
    </xf>
    <xf numFmtId="165" fontId="23" fillId="2" borderId="26" xfId="0" applyNumberFormat="1" applyFont="1" applyFill="1" applyBorder="1" applyAlignment="1" applyProtection="1">
      <alignment horizontal="center" vertical="center"/>
      <protection locked="0"/>
    </xf>
    <xf numFmtId="165" fontId="23" fillId="2" borderId="23" xfId="0" applyNumberFormat="1" applyFont="1" applyFill="1" applyBorder="1" applyAlignment="1" applyProtection="1">
      <alignment horizontal="center" vertical="center"/>
      <protection locked="0"/>
    </xf>
    <xf numFmtId="165" fontId="23" fillId="2" borderId="31" xfId="0" applyNumberFormat="1" applyFont="1" applyFill="1" applyBorder="1" applyAlignment="1" applyProtection="1">
      <alignment horizontal="center" vertical="center"/>
      <protection locked="0"/>
    </xf>
    <xf numFmtId="0" fontId="18" fillId="0" borderId="20" xfId="0" applyFont="1" applyBorder="1" applyAlignment="1">
      <alignment horizontal="center" vertical="center"/>
    </xf>
    <xf numFmtId="0" fontId="18" fillId="0" borderId="21" xfId="0" applyFont="1" applyBorder="1" applyAlignment="1">
      <alignment horizontal="center" vertical="center"/>
    </xf>
    <xf numFmtId="0" fontId="18" fillId="0" borderId="1" xfId="0" applyFont="1" applyBorder="1" applyAlignment="1">
      <alignment horizontal="center" vertical="center"/>
    </xf>
    <xf numFmtId="0" fontId="25" fillId="2" borderId="4" xfId="0" applyFont="1" applyFill="1" applyBorder="1" applyAlignment="1">
      <alignment horizontal="center" vertical="justify" wrapText="1"/>
    </xf>
    <xf numFmtId="0" fontId="26" fillId="2" borderId="4" xfId="0" applyFont="1" applyFill="1" applyBorder="1" applyAlignment="1">
      <alignment horizontal="center" vertical="justify"/>
    </xf>
    <xf numFmtId="0" fontId="26" fillId="2" borderId="6" xfId="0" applyFont="1" applyFill="1" applyBorder="1" applyAlignment="1">
      <alignment horizontal="center" vertical="justify"/>
    </xf>
    <xf numFmtId="0" fontId="21" fillId="0" borderId="20" xfId="5" applyFont="1" applyBorder="1" applyAlignment="1">
      <alignment horizontal="center" vertical="center" readingOrder="2"/>
    </xf>
    <xf numFmtId="0" fontId="21" fillId="0" borderId="16" xfId="5" applyFont="1" applyBorder="1" applyAlignment="1">
      <alignment horizontal="center" vertical="center" readingOrder="2"/>
    </xf>
    <xf numFmtId="0" fontId="21" fillId="0" borderId="17" xfId="5" applyFont="1" applyBorder="1" applyAlignment="1">
      <alignment horizontal="center" vertical="center" readingOrder="2"/>
    </xf>
    <xf numFmtId="0" fontId="19" fillId="2" borderId="21" xfId="5" applyFont="1" applyFill="1" applyBorder="1" applyAlignment="1" applyProtection="1">
      <alignment horizontal="center" vertical="center"/>
      <protection locked="0"/>
    </xf>
    <xf numFmtId="0" fontId="19" fillId="2" borderId="0" xfId="5" applyFont="1" applyFill="1" applyAlignment="1" applyProtection="1">
      <alignment horizontal="center" vertical="center"/>
      <protection locked="0"/>
    </xf>
    <xf numFmtId="0" fontId="19" fillId="2" borderId="19" xfId="5" applyFont="1" applyFill="1" applyBorder="1" applyAlignment="1" applyProtection="1">
      <alignment horizontal="center" vertical="center"/>
      <protection locked="0"/>
    </xf>
    <xf numFmtId="0" fontId="20" fillId="0" borderId="20" xfId="5" applyFont="1" applyBorder="1" applyAlignment="1">
      <alignment horizontal="center" vertical="center" readingOrder="2"/>
    </xf>
    <xf numFmtId="0" fontId="20" fillId="0" borderId="16" xfId="5" applyFont="1" applyBorder="1" applyAlignment="1">
      <alignment horizontal="center" vertical="center" readingOrder="2"/>
    </xf>
    <xf numFmtId="0" fontId="20" fillId="0" borderId="17" xfId="5" applyFont="1" applyBorder="1" applyAlignment="1">
      <alignment horizontal="center" vertical="center" readingOrder="2"/>
    </xf>
    <xf numFmtId="0" fontId="19" fillId="2" borderId="3" xfId="0" applyFont="1" applyFill="1" applyBorder="1" applyAlignment="1" applyProtection="1">
      <alignment horizontal="left" vertical="center"/>
      <protection locked="0"/>
    </xf>
    <xf numFmtId="0" fontId="19" fillId="2" borderId="4" xfId="0" applyFont="1" applyFill="1" applyBorder="1" applyAlignment="1" applyProtection="1">
      <alignment horizontal="left" vertical="center"/>
      <protection locked="0"/>
    </xf>
    <xf numFmtId="0" fontId="19" fillId="2" borderId="5" xfId="0" applyFont="1" applyFill="1" applyBorder="1" applyAlignment="1" applyProtection="1">
      <alignment horizontal="left" vertical="center"/>
      <protection locked="0"/>
    </xf>
    <xf numFmtId="0" fontId="19" fillId="2" borderId="21" xfId="5" applyFont="1" applyFill="1" applyBorder="1" applyAlignment="1">
      <alignment horizontal="center" vertical="center" wrapText="1" readingOrder="1"/>
    </xf>
    <xf numFmtId="0" fontId="19" fillId="2" borderId="0" xfId="5" applyFont="1" applyFill="1" applyAlignment="1">
      <alignment horizontal="center" vertical="center" wrapText="1" readingOrder="1"/>
    </xf>
    <xf numFmtId="0" fontId="19" fillId="2" borderId="19" xfId="5" applyFont="1" applyFill="1" applyBorder="1" applyAlignment="1">
      <alignment horizontal="center" vertical="center" wrapText="1" readingOrder="1"/>
    </xf>
    <xf numFmtId="0" fontId="19" fillId="0" borderId="16" xfId="5" applyFont="1" applyBorder="1" applyAlignment="1">
      <alignment horizontal="left" vertical="center" readingOrder="1"/>
    </xf>
    <xf numFmtId="0" fontId="19" fillId="0" borderId="17" xfId="5" applyFont="1" applyBorder="1" applyAlignment="1">
      <alignment horizontal="left" vertical="center" readingOrder="1"/>
    </xf>
    <xf numFmtId="0" fontId="20" fillId="0" borderId="20" xfId="5" applyFont="1" applyBorder="1" applyAlignment="1">
      <alignment horizontal="left" vertical="center" readingOrder="1"/>
    </xf>
    <xf numFmtId="0" fontId="20" fillId="0" borderId="16" xfId="5" applyFont="1" applyBorder="1" applyAlignment="1">
      <alignment horizontal="left" vertical="center" readingOrder="1"/>
    </xf>
    <xf numFmtId="0" fontId="20" fillId="0" borderId="17" xfId="5" applyFont="1" applyBorder="1" applyAlignment="1">
      <alignment horizontal="left" vertical="center" readingOrder="1"/>
    </xf>
    <xf numFmtId="0" fontId="19" fillId="2" borderId="21" xfId="5" applyFont="1" applyFill="1" applyBorder="1" applyAlignment="1">
      <alignment horizontal="center" vertical="center" readingOrder="1"/>
    </xf>
    <xf numFmtId="0" fontId="19" fillId="2" borderId="0" xfId="5" applyFont="1" applyFill="1" applyAlignment="1">
      <alignment horizontal="center" vertical="center" readingOrder="1"/>
    </xf>
    <xf numFmtId="0" fontId="19" fillId="2" borderId="19" xfId="5" applyFont="1" applyFill="1" applyBorder="1" applyAlignment="1">
      <alignment horizontal="center" vertical="center" readingOrder="1"/>
    </xf>
    <xf numFmtId="14" fontId="19" fillId="2" borderId="21" xfId="5" quotePrefix="1" applyNumberFormat="1" applyFont="1" applyFill="1" applyBorder="1" applyAlignment="1" applyProtection="1">
      <alignment horizontal="center" vertical="center"/>
      <protection locked="0"/>
    </xf>
    <xf numFmtId="0" fontId="19" fillId="2" borderId="20" xfId="5" applyFont="1" applyFill="1" applyBorder="1" applyAlignment="1">
      <alignment horizontal="center" vertical="center" wrapText="1"/>
    </xf>
    <xf numFmtId="0" fontId="19" fillId="2" borderId="16" xfId="5" applyFont="1" applyFill="1" applyBorder="1" applyAlignment="1">
      <alignment horizontal="center" vertical="center" wrapText="1"/>
    </xf>
    <xf numFmtId="0" fontId="19" fillId="2" borderId="17" xfId="5" applyFont="1" applyFill="1" applyBorder="1" applyAlignment="1">
      <alignment horizontal="center" vertical="center" wrapText="1"/>
    </xf>
    <xf numFmtId="0" fontId="19" fillId="2" borderId="1" xfId="5" applyFont="1" applyFill="1" applyBorder="1" applyAlignment="1">
      <alignment horizontal="center" vertical="center" wrapText="1"/>
    </xf>
    <xf numFmtId="0" fontId="19" fillId="2" borderId="10" xfId="5" applyFont="1" applyFill="1" applyBorder="1" applyAlignment="1">
      <alignment horizontal="center" vertical="center" wrapText="1"/>
    </xf>
    <xf numFmtId="0" fontId="19" fillId="2" borderId="11" xfId="5" applyFont="1" applyFill="1" applyBorder="1" applyAlignment="1">
      <alignment horizontal="center" vertical="center" wrapText="1"/>
    </xf>
    <xf numFmtId="0" fontId="18" fillId="0" borderId="20" xfId="5" applyFont="1" applyBorder="1" applyAlignment="1">
      <alignment horizontal="center" vertical="center" readingOrder="2"/>
    </xf>
    <xf numFmtId="0" fontId="18" fillId="0" borderId="16" xfId="5" applyFont="1" applyBorder="1" applyAlignment="1">
      <alignment horizontal="center" vertical="center" readingOrder="2"/>
    </xf>
    <xf numFmtId="0" fontId="18" fillId="0" borderId="17" xfId="5" applyFont="1" applyBorder="1" applyAlignment="1">
      <alignment horizontal="center" vertical="center" readingOrder="2"/>
    </xf>
    <xf numFmtId="0" fontId="20" fillId="2" borderId="20" xfId="5" applyFont="1" applyFill="1" applyBorder="1" applyAlignment="1">
      <alignment horizontal="center" vertical="center" readingOrder="2"/>
    </xf>
    <xf numFmtId="0" fontId="20" fillId="2" borderId="16" xfId="5" applyFont="1" applyFill="1" applyBorder="1" applyAlignment="1">
      <alignment horizontal="center" vertical="center" readingOrder="2"/>
    </xf>
    <xf numFmtId="0" fontId="20" fillId="2" borderId="17" xfId="5" applyFont="1" applyFill="1" applyBorder="1" applyAlignment="1">
      <alignment horizontal="center" vertical="center" readingOrder="2"/>
    </xf>
    <xf numFmtId="0" fontId="19" fillId="2" borderId="26" xfId="5" applyFont="1" applyFill="1" applyBorder="1" applyAlignment="1" applyProtection="1">
      <alignment horizontal="center" vertical="center"/>
      <protection locked="0"/>
    </xf>
    <xf numFmtId="0" fontId="19" fillId="2" borderId="23" xfId="5" applyFont="1" applyFill="1" applyBorder="1" applyAlignment="1" applyProtection="1">
      <alignment horizontal="center" vertical="center"/>
      <protection locked="0"/>
    </xf>
    <xf numFmtId="0" fontId="19" fillId="2" borderId="24" xfId="5" applyFont="1" applyFill="1" applyBorder="1" applyAlignment="1" applyProtection="1">
      <alignment horizontal="center" vertical="center"/>
      <protection locked="0"/>
    </xf>
    <xf numFmtId="165" fontId="19" fillId="2" borderId="1" xfId="5" applyNumberFormat="1" applyFont="1" applyFill="1" applyBorder="1" applyAlignment="1" applyProtection="1">
      <alignment horizontal="center" vertical="center"/>
      <protection locked="0"/>
    </xf>
    <xf numFmtId="165" fontId="19" fillId="2" borderId="10" xfId="5" applyNumberFormat="1" applyFont="1" applyFill="1" applyBorder="1" applyAlignment="1" applyProtection="1">
      <alignment horizontal="center" vertical="center"/>
      <protection locked="0"/>
    </xf>
    <xf numFmtId="0" fontId="19" fillId="0" borderId="1" xfId="5" applyFont="1" applyBorder="1" applyAlignment="1" applyProtection="1">
      <alignment horizontal="left" vertical="center"/>
      <protection locked="0"/>
    </xf>
    <xf numFmtId="0" fontId="19" fillId="0" borderId="10" xfId="5" applyFont="1" applyBorder="1" applyAlignment="1" applyProtection="1">
      <alignment horizontal="left" vertical="center"/>
      <protection locked="0"/>
    </xf>
    <xf numFmtId="0" fontId="19" fillId="0" borderId="11" xfId="5" applyFont="1" applyBorder="1" applyAlignment="1" applyProtection="1">
      <alignment horizontal="left" vertical="center"/>
      <protection locked="0"/>
    </xf>
    <xf numFmtId="0" fontId="16" fillId="0" borderId="15" xfId="0" applyFont="1" applyBorder="1" applyAlignment="1">
      <alignment horizontal="left" vertical="center"/>
    </xf>
    <xf numFmtId="0" fontId="16" fillId="0" borderId="16" xfId="0" applyFont="1" applyBorder="1" applyAlignment="1">
      <alignment horizontal="left" vertical="center"/>
    </xf>
    <xf numFmtId="0" fontId="16" fillId="0" borderId="17" xfId="0" applyFont="1" applyBorder="1" applyAlignment="1">
      <alignment horizontal="left" vertical="center"/>
    </xf>
    <xf numFmtId="0" fontId="16" fillId="0" borderId="18" xfId="0" applyFont="1" applyBorder="1" applyAlignment="1">
      <alignment horizontal="left" vertical="center"/>
    </xf>
    <xf numFmtId="0" fontId="16" fillId="0" borderId="0" xfId="0" applyFont="1" applyAlignment="1">
      <alignment horizontal="left" vertical="center"/>
    </xf>
    <xf numFmtId="0" fontId="16" fillId="0" borderId="19" xfId="0" applyFont="1" applyBorder="1" applyAlignment="1">
      <alignment horizontal="left" vertical="center"/>
    </xf>
    <xf numFmtId="0" fontId="16" fillId="2" borderId="20" xfId="0" applyFont="1" applyFill="1" applyBorder="1" applyAlignment="1">
      <alignment horizontal="left" vertical="center" wrapText="1"/>
    </xf>
    <xf numFmtId="0" fontId="16" fillId="2" borderId="16" xfId="0" applyFont="1" applyFill="1" applyBorder="1" applyAlignment="1">
      <alignment horizontal="left" vertical="center" wrapText="1"/>
    </xf>
    <xf numFmtId="0" fontId="16" fillId="2" borderId="17" xfId="0" applyFont="1" applyFill="1" applyBorder="1" applyAlignment="1">
      <alignment horizontal="left" vertical="center" wrapText="1"/>
    </xf>
    <xf numFmtId="0" fontId="16" fillId="2" borderId="21" xfId="0" applyFont="1" applyFill="1" applyBorder="1" applyAlignment="1">
      <alignment horizontal="left" vertical="center" wrapText="1"/>
    </xf>
    <xf numFmtId="0" fontId="16" fillId="2" borderId="0" xfId="0" applyFont="1" applyFill="1" applyAlignment="1">
      <alignment horizontal="left" vertical="center" wrapText="1"/>
    </xf>
    <xf numFmtId="0" fontId="16" fillId="2" borderId="19" xfId="0" applyFont="1" applyFill="1" applyBorder="1" applyAlignment="1">
      <alignment horizontal="left" vertical="center" wrapText="1"/>
    </xf>
    <xf numFmtId="0" fontId="19" fillId="0" borderId="18" xfId="0" applyFont="1" applyBorder="1" applyAlignment="1" applyProtection="1">
      <alignment horizontal="left" vertical="top" wrapText="1"/>
      <protection locked="0"/>
    </xf>
    <xf numFmtId="0" fontId="19" fillId="0" borderId="0" xfId="0" applyFont="1" applyAlignment="1" applyProtection="1">
      <alignment horizontal="left" vertical="top" wrapText="1"/>
      <protection locked="0"/>
    </xf>
    <xf numFmtId="0" fontId="19" fillId="0" borderId="19" xfId="0" applyFont="1" applyBorder="1" applyAlignment="1" applyProtection="1">
      <alignment horizontal="left" vertical="top" wrapText="1"/>
      <protection locked="0"/>
    </xf>
    <xf numFmtId="0" fontId="19" fillId="0" borderId="22" xfId="0" applyFont="1" applyBorder="1" applyAlignment="1" applyProtection="1">
      <alignment horizontal="left" vertical="top" wrapText="1"/>
      <protection locked="0"/>
    </xf>
    <xf numFmtId="0" fontId="19" fillId="0" borderId="23" xfId="0" applyFont="1" applyBorder="1" applyAlignment="1" applyProtection="1">
      <alignment horizontal="left" vertical="top" wrapText="1"/>
      <protection locked="0"/>
    </xf>
    <xf numFmtId="0" fontId="19" fillId="0" borderId="24" xfId="0" applyFont="1" applyBorder="1" applyAlignment="1" applyProtection="1">
      <alignment horizontal="left" vertical="top" wrapText="1"/>
      <protection locked="0"/>
    </xf>
    <xf numFmtId="0" fontId="19" fillId="2" borderId="21" xfId="0" applyFont="1" applyFill="1" applyBorder="1" applyAlignment="1" applyProtection="1">
      <alignment horizontal="left" vertical="top" wrapText="1"/>
      <protection locked="0"/>
    </xf>
    <xf numFmtId="0" fontId="19" fillId="2" borderId="0" xfId="0" applyFont="1" applyFill="1" applyAlignment="1" applyProtection="1">
      <alignment horizontal="left" vertical="top" wrapText="1"/>
      <protection locked="0"/>
    </xf>
    <xf numFmtId="0" fontId="19" fillId="2" borderId="19" xfId="0" applyFont="1" applyFill="1" applyBorder="1" applyAlignment="1" applyProtection="1">
      <alignment horizontal="left" vertical="top" wrapText="1"/>
      <protection locked="0"/>
    </xf>
    <xf numFmtId="0" fontId="19" fillId="2" borderId="1" xfId="0" applyFont="1" applyFill="1" applyBorder="1" applyAlignment="1" applyProtection="1">
      <alignment horizontal="left" vertical="top" wrapText="1"/>
      <protection locked="0"/>
    </xf>
    <xf numFmtId="0" fontId="19" fillId="2" borderId="10" xfId="0" applyFont="1" applyFill="1" applyBorder="1" applyAlignment="1" applyProtection="1">
      <alignment horizontal="left" vertical="top" wrapText="1"/>
      <protection locked="0"/>
    </xf>
    <xf numFmtId="0" fontId="19" fillId="2" borderId="11" xfId="0" applyFont="1" applyFill="1" applyBorder="1" applyAlignment="1" applyProtection="1">
      <alignment horizontal="left" vertical="top" wrapText="1"/>
      <protection locked="0"/>
    </xf>
    <xf numFmtId="0" fontId="16" fillId="2" borderId="3" xfId="0" applyFont="1" applyFill="1" applyBorder="1" applyAlignment="1">
      <alignment horizontal="center" vertical="center"/>
    </xf>
    <xf numFmtId="0" fontId="16" fillId="2" borderId="4" xfId="0" applyFont="1" applyFill="1" applyBorder="1" applyAlignment="1">
      <alignment horizontal="center" vertical="center"/>
    </xf>
    <xf numFmtId="0" fontId="16" fillId="2" borderId="5" xfId="0" applyFont="1" applyFill="1" applyBorder="1" applyAlignment="1">
      <alignment horizontal="center" vertical="center"/>
    </xf>
    <xf numFmtId="14" fontId="19" fillId="0" borderId="21" xfId="5" quotePrefix="1" applyNumberFormat="1" applyFont="1" applyBorder="1" applyAlignment="1" applyProtection="1">
      <alignment horizontal="center" vertical="center"/>
      <protection locked="0"/>
    </xf>
    <xf numFmtId="0" fontId="19" fillId="0" borderId="3" xfId="0" applyFont="1" applyBorder="1" applyAlignment="1">
      <alignment horizontal="left" vertical="center"/>
    </xf>
    <xf numFmtId="0" fontId="19" fillId="0" borderId="4" xfId="0" applyFont="1" applyBorder="1" applyAlignment="1">
      <alignment horizontal="left" vertical="center"/>
    </xf>
    <xf numFmtId="0" fontId="19" fillId="0" borderId="5" xfId="0" applyFont="1" applyBorder="1" applyAlignment="1">
      <alignment horizontal="left" vertical="center"/>
    </xf>
    <xf numFmtId="165" fontId="19" fillId="0" borderId="25" xfId="5" applyNumberFormat="1" applyFont="1" applyBorder="1" applyAlignment="1" applyProtection="1">
      <alignment horizontal="center" vertical="center"/>
      <protection locked="0"/>
    </xf>
    <xf numFmtId="0" fontId="19" fillId="2" borderId="21" xfId="0" applyFont="1" applyFill="1" applyBorder="1" applyAlignment="1">
      <alignment horizontal="right" wrapText="1"/>
    </xf>
    <xf numFmtId="0" fontId="0" fillId="2" borderId="0" xfId="0" applyFill="1" applyAlignment="1">
      <alignment horizontal="right" wrapText="1"/>
    </xf>
    <xf numFmtId="0" fontId="19" fillId="0" borderId="3" xfId="0" quotePrefix="1" applyFont="1" applyBorder="1" applyAlignment="1" applyProtection="1">
      <alignment horizontal="center" vertical="center"/>
      <protection locked="0"/>
    </xf>
    <xf numFmtId="49" fontId="19" fillId="0" borderId="13" xfId="0" applyNumberFormat="1" applyFont="1" applyBorder="1" applyAlignment="1" applyProtection="1">
      <alignment horizontal="center" vertical="center"/>
      <protection locked="0"/>
    </xf>
    <xf numFmtId="0" fontId="19" fillId="0" borderId="13" xfId="0" quotePrefix="1" applyFont="1" applyBorder="1" applyAlignment="1" applyProtection="1">
      <alignment horizontal="center" vertical="center"/>
      <protection locked="0"/>
    </xf>
    <xf numFmtId="0" fontId="19" fillId="0" borderId="14" xfId="0" applyFont="1" applyBorder="1" applyAlignment="1" applyProtection="1">
      <alignment horizontal="center" vertical="center"/>
      <protection locked="0"/>
    </xf>
    <xf numFmtId="0" fontId="19" fillId="0" borderId="2" xfId="0" quotePrefix="1" applyFont="1" applyBorder="1" applyAlignment="1" applyProtection="1">
      <alignment horizontal="center" vertical="center"/>
      <protection locked="0"/>
    </xf>
    <xf numFmtId="0" fontId="19" fillId="0" borderId="1" xfId="0" quotePrefix="1" applyFont="1" applyBorder="1" applyAlignment="1" applyProtection="1">
      <alignment horizontal="center" vertical="center"/>
      <protection locked="0"/>
    </xf>
    <xf numFmtId="0" fontId="19" fillId="0" borderId="10" xfId="0" quotePrefix="1" applyFont="1" applyBorder="1" applyAlignment="1" applyProtection="1">
      <alignment horizontal="center" vertical="center"/>
      <protection locked="0"/>
    </xf>
    <xf numFmtId="0" fontId="19" fillId="0" borderId="11" xfId="0" quotePrefix="1" applyFont="1" applyBorder="1" applyAlignment="1" applyProtection="1">
      <alignment horizontal="center" vertical="center"/>
      <protection locked="0"/>
    </xf>
    <xf numFmtId="11" fontId="19" fillId="0" borderId="2" xfId="0" quotePrefix="1" applyNumberFormat="1" applyFont="1" applyBorder="1" applyAlignment="1" applyProtection="1">
      <alignment horizontal="center" vertical="center"/>
      <protection locked="0"/>
    </xf>
    <xf numFmtId="11" fontId="19" fillId="0" borderId="2" xfId="0" applyNumberFormat="1" applyFont="1" applyBorder="1" applyAlignment="1" applyProtection="1">
      <alignment horizontal="center" vertical="center"/>
      <protection locked="0"/>
    </xf>
  </cellXfs>
  <cellStyles count="7">
    <cellStyle name="Normal" xfId="0" builtinId="0"/>
    <cellStyle name="Normal 10" xfId="1" xr:uid="{A8118A5A-E9DF-4DF3-82AC-262D86363C8C}"/>
    <cellStyle name="Normal 2 2" xfId="2" xr:uid="{26CC4E36-C0AD-40E8-AED7-75BEFC9B7E3F}"/>
    <cellStyle name="Normal 2 3" xfId="3" xr:uid="{00D9D811-E1FF-4F5D-AC13-E69379A3A336}"/>
    <cellStyle name="Normal 2 4" xfId="4" xr:uid="{11B73575-C41E-4056-ABDF-2EE9C07D484B}"/>
    <cellStyle name="Normal 4" xfId="5" xr:uid="{915DEF10-F65D-434A-A5F5-3FD7E91D7D9F}"/>
    <cellStyle name="Normal 5" xfId="6" xr:uid="{3FF73404-CAFC-4BF9-A2EA-9D6A9C4BB35C}"/>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xdr:twoCellAnchor>
    <xdr:from>
      <xdr:col>90</xdr:col>
      <xdr:colOff>9525</xdr:colOff>
      <xdr:row>3</xdr:row>
      <xdr:rowOff>9525</xdr:rowOff>
    </xdr:from>
    <xdr:to>
      <xdr:col>96</xdr:col>
      <xdr:colOff>114300</xdr:colOff>
      <xdr:row>4</xdr:row>
      <xdr:rowOff>209550</xdr:rowOff>
    </xdr:to>
    <xdr:sp macro="" textlink="">
      <xdr:nvSpPr>
        <xdr:cNvPr id="5513" name="Line 38">
          <a:extLst>
            <a:ext uri="{FF2B5EF4-FFF2-40B4-BE49-F238E27FC236}">
              <a16:creationId xmlns:a16="http://schemas.microsoft.com/office/drawing/2014/main" id="{666028CA-D00B-4D4B-D8C7-AD06EB645469}"/>
            </a:ext>
          </a:extLst>
        </xdr:cNvPr>
        <xdr:cNvSpPr>
          <a:spLocks noChangeShapeType="1"/>
        </xdr:cNvSpPr>
      </xdr:nvSpPr>
      <xdr:spPr bwMode="auto">
        <a:xfrm flipH="1">
          <a:off x="11449050" y="504825"/>
          <a:ext cx="79057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71</xdr:col>
          <xdr:colOff>0</xdr:colOff>
          <xdr:row>52</xdr:row>
          <xdr:rowOff>139700</xdr:rowOff>
        </xdr:from>
        <xdr:to>
          <xdr:col>73</xdr:col>
          <xdr:colOff>0</xdr:colOff>
          <xdr:row>53</xdr:row>
          <xdr:rowOff>152400</xdr:rowOff>
        </xdr:to>
        <xdr:sp macro="" textlink="">
          <xdr:nvSpPr>
            <xdr:cNvPr id="1973" name="REVIEW_KEY_DWG" hidden="1">
              <a:extLst>
                <a:ext uri="{63B3BB69-23CF-44E3-9099-C40C66FF867C}">
                  <a14:compatExt spid="_x0000_s1973"/>
                </a:ext>
                <a:ext uri="{FF2B5EF4-FFF2-40B4-BE49-F238E27FC236}">
                  <a16:creationId xmlns:a16="http://schemas.microsoft.com/office/drawing/2014/main" id="{00000000-0008-0000-0000-0000B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37</xdr:row>
          <xdr:rowOff>114300</xdr:rowOff>
        </xdr:from>
        <xdr:to>
          <xdr:col>1</xdr:col>
          <xdr:colOff>165100</xdr:colOff>
          <xdr:row>38</xdr:row>
          <xdr:rowOff>101600</xdr:rowOff>
        </xdr:to>
        <xdr:sp macro="" textlink="">
          <xdr:nvSpPr>
            <xdr:cNvPr id="2951" name="Check Box 1927" hidden="1">
              <a:extLst>
                <a:ext uri="{63B3BB69-23CF-44E3-9099-C40C66FF867C}">
                  <a14:compatExt spid="_x0000_s2951"/>
                </a:ext>
                <a:ext uri="{FF2B5EF4-FFF2-40B4-BE49-F238E27FC236}">
                  <a16:creationId xmlns:a16="http://schemas.microsoft.com/office/drawing/2014/main" id="{00000000-0008-0000-0000-000087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37</xdr:row>
          <xdr:rowOff>114300</xdr:rowOff>
        </xdr:from>
        <xdr:to>
          <xdr:col>1</xdr:col>
          <xdr:colOff>165100</xdr:colOff>
          <xdr:row>38</xdr:row>
          <xdr:rowOff>101600</xdr:rowOff>
        </xdr:to>
        <xdr:sp macro="" textlink="">
          <xdr:nvSpPr>
            <xdr:cNvPr id="2952" name="Check Box 1928" hidden="1">
              <a:extLst>
                <a:ext uri="{63B3BB69-23CF-44E3-9099-C40C66FF867C}">
                  <a14:compatExt spid="_x0000_s2952"/>
                </a:ext>
                <a:ext uri="{FF2B5EF4-FFF2-40B4-BE49-F238E27FC236}">
                  <a16:creationId xmlns:a16="http://schemas.microsoft.com/office/drawing/2014/main" id="{00000000-0008-0000-0000-000088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38</xdr:row>
          <xdr:rowOff>0</xdr:rowOff>
        </xdr:from>
        <xdr:to>
          <xdr:col>1</xdr:col>
          <xdr:colOff>165100</xdr:colOff>
          <xdr:row>38</xdr:row>
          <xdr:rowOff>152400</xdr:rowOff>
        </xdr:to>
        <xdr:sp macro="" textlink="">
          <xdr:nvSpPr>
            <xdr:cNvPr id="3021" name="Check Box 1997" hidden="1">
              <a:extLst>
                <a:ext uri="{63B3BB69-23CF-44E3-9099-C40C66FF867C}">
                  <a14:compatExt spid="_x0000_s3021"/>
                </a:ext>
                <a:ext uri="{FF2B5EF4-FFF2-40B4-BE49-F238E27FC236}">
                  <a16:creationId xmlns:a16="http://schemas.microsoft.com/office/drawing/2014/main" id="{00000000-0008-0000-0000-0000CD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38</xdr:row>
          <xdr:rowOff>0</xdr:rowOff>
        </xdr:from>
        <xdr:to>
          <xdr:col>1</xdr:col>
          <xdr:colOff>165100</xdr:colOff>
          <xdr:row>38</xdr:row>
          <xdr:rowOff>152400</xdr:rowOff>
        </xdr:to>
        <xdr:sp macro="" textlink="">
          <xdr:nvSpPr>
            <xdr:cNvPr id="3022" name="Check Box 1998" hidden="1">
              <a:extLst>
                <a:ext uri="{63B3BB69-23CF-44E3-9099-C40C66FF867C}">
                  <a14:compatExt spid="_x0000_s3022"/>
                </a:ext>
                <a:ext uri="{FF2B5EF4-FFF2-40B4-BE49-F238E27FC236}">
                  <a16:creationId xmlns:a16="http://schemas.microsoft.com/office/drawing/2014/main" id="{00000000-0008-0000-0000-0000CE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38</xdr:row>
          <xdr:rowOff>114300</xdr:rowOff>
        </xdr:from>
        <xdr:to>
          <xdr:col>1</xdr:col>
          <xdr:colOff>165100</xdr:colOff>
          <xdr:row>39</xdr:row>
          <xdr:rowOff>88900</xdr:rowOff>
        </xdr:to>
        <xdr:sp macro="" textlink="">
          <xdr:nvSpPr>
            <xdr:cNvPr id="3023" name="Check Box 1999" hidden="1">
              <a:extLst>
                <a:ext uri="{63B3BB69-23CF-44E3-9099-C40C66FF867C}">
                  <a14:compatExt spid="_x0000_s3023"/>
                </a:ext>
                <a:ext uri="{FF2B5EF4-FFF2-40B4-BE49-F238E27FC236}">
                  <a16:creationId xmlns:a16="http://schemas.microsoft.com/office/drawing/2014/main" id="{00000000-0008-0000-0000-0000CF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38</xdr:row>
          <xdr:rowOff>114300</xdr:rowOff>
        </xdr:from>
        <xdr:to>
          <xdr:col>1</xdr:col>
          <xdr:colOff>165100</xdr:colOff>
          <xdr:row>39</xdr:row>
          <xdr:rowOff>88900</xdr:rowOff>
        </xdr:to>
        <xdr:sp macro="" textlink="">
          <xdr:nvSpPr>
            <xdr:cNvPr id="3024" name="Check Box 2000" hidden="1">
              <a:extLst>
                <a:ext uri="{63B3BB69-23CF-44E3-9099-C40C66FF867C}">
                  <a14:compatExt spid="_x0000_s3024"/>
                </a:ext>
                <a:ext uri="{FF2B5EF4-FFF2-40B4-BE49-F238E27FC236}">
                  <a16:creationId xmlns:a16="http://schemas.microsoft.com/office/drawing/2014/main" id="{00000000-0008-0000-0000-0000D0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39</xdr:row>
          <xdr:rowOff>114300</xdr:rowOff>
        </xdr:from>
        <xdr:to>
          <xdr:col>1</xdr:col>
          <xdr:colOff>165100</xdr:colOff>
          <xdr:row>40</xdr:row>
          <xdr:rowOff>88900</xdr:rowOff>
        </xdr:to>
        <xdr:sp macro="" textlink="">
          <xdr:nvSpPr>
            <xdr:cNvPr id="3025" name="Check Box 2001" hidden="1">
              <a:extLst>
                <a:ext uri="{63B3BB69-23CF-44E3-9099-C40C66FF867C}">
                  <a14:compatExt spid="_x0000_s3025"/>
                </a:ext>
                <a:ext uri="{FF2B5EF4-FFF2-40B4-BE49-F238E27FC236}">
                  <a16:creationId xmlns:a16="http://schemas.microsoft.com/office/drawing/2014/main" id="{00000000-0008-0000-0000-0000D1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39</xdr:row>
          <xdr:rowOff>114300</xdr:rowOff>
        </xdr:from>
        <xdr:to>
          <xdr:col>1</xdr:col>
          <xdr:colOff>165100</xdr:colOff>
          <xdr:row>40</xdr:row>
          <xdr:rowOff>88900</xdr:rowOff>
        </xdr:to>
        <xdr:sp macro="" textlink="">
          <xdr:nvSpPr>
            <xdr:cNvPr id="3026" name="Check Box 2002" hidden="1">
              <a:extLst>
                <a:ext uri="{63B3BB69-23CF-44E3-9099-C40C66FF867C}">
                  <a14:compatExt spid="_x0000_s3026"/>
                </a:ext>
                <a:ext uri="{FF2B5EF4-FFF2-40B4-BE49-F238E27FC236}">
                  <a16:creationId xmlns:a16="http://schemas.microsoft.com/office/drawing/2014/main" id="{00000000-0008-0000-0000-0000D2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39</xdr:row>
          <xdr:rowOff>114300</xdr:rowOff>
        </xdr:from>
        <xdr:to>
          <xdr:col>1</xdr:col>
          <xdr:colOff>165100</xdr:colOff>
          <xdr:row>40</xdr:row>
          <xdr:rowOff>88900</xdr:rowOff>
        </xdr:to>
        <xdr:sp macro="" textlink="">
          <xdr:nvSpPr>
            <xdr:cNvPr id="3031" name="Check Box 2007" hidden="1">
              <a:extLst>
                <a:ext uri="{63B3BB69-23CF-44E3-9099-C40C66FF867C}">
                  <a14:compatExt spid="_x0000_s3031"/>
                </a:ext>
                <a:ext uri="{FF2B5EF4-FFF2-40B4-BE49-F238E27FC236}">
                  <a16:creationId xmlns:a16="http://schemas.microsoft.com/office/drawing/2014/main" id="{00000000-0008-0000-0000-0000D7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39</xdr:row>
          <xdr:rowOff>114300</xdr:rowOff>
        </xdr:from>
        <xdr:to>
          <xdr:col>1</xdr:col>
          <xdr:colOff>165100</xdr:colOff>
          <xdr:row>40</xdr:row>
          <xdr:rowOff>88900</xdr:rowOff>
        </xdr:to>
        <xdr:sp macro="" textlink="">
          <xdr:nvSpPr>
            <xdr:cNvPr id="3032" name="Check Box 2008" hidden="1">
              <a:extLst>
                <a:ext uri="{63B3BB69-23CF-44E3-9099-C40C66FF867C}">
                  <a14:compatExt spid="_x0000_s3032"/>
                </a:ext>
                <a:ext uri="{FF2B5EF4-FFF2-40B4-BE49-F238E27FC236}">
                  <a16:creationId xmlns:a16="http://schemas.microsoft.com/office/drawing/2014/main" id="{00000000-0008-0000-0000-0000D8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40</xdr:row>
          <xdr:rowOff>114300</xdr:rowOff>
        </xdr:from>
        <xdr:to>
          <xdr:col>1</xdr:col>
          <xdr:colOff>165100</xdr:colOff>
          <xdr:row>41</xdr:row>
          <xdr:rowOff>88900</xdr:rowOff>
        </xdr:to>
        <xdr:sp macro="" textlink="">
          <xdr:nvSpPr>
            <xdr:cNvPr id="3033" name="Check Box 2009" hidden="1">
              <a:extLst>
                <a:ext uri="{63B3BB69-23CF-44E3-9099-C40C66FF867C}">
                  <a14:compatExt spid="_x0000_s3033"/>
                </a:ext>
                <a:ext uri="{FF2B5EF4-FFF2-40B4-BE49-F238E27FC236}">
                  <a16:creationId xmlns:a16="http://schemas.microsoft.com/office/drawing/2014/main" id="{00000000-0008-0000-0000-0000D9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40</xdr:row>
          <xdr:rowOff>114300</xdr:rowOff>
        </xdr:from>
        <xdr:to>
          <xdr:col>1</xdr:col>
          <xdr:colOff>165100</xdr:colOff>
          <xdr:row>41</xdr:row>
          <xdr:rowOff>88900</xdr:rowOff>
        </xdr:to>
        <xdr:sp macro="" textlink="">
          <xdr:nvSpPr>
            <xdr:cNvPr id="3034" name="Check Box 2010" hidden="1">
              <a:extLst>
                <a:ext uri="{63B3BB69-23CF-44E3-9099-C40C66FF867C}">
                  <a14:compatExt spid="_x0000_s3034"/>
                </a:ext>
                <a:ext uri="{FF2B5EF4-FFF2-40B4-BE49-F238E27FC236}">
                  <a16:creationId xmlns:a16="http://schemas.microsoft.com/office/drawing/2014/main" id="{00000000-0008-0000-0000-0000DA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40</xdr:row>
          <xdr:rowOff>114300</xdr:rowOff>
        </xdr:from>
        <xdr:to>
          <xdr:col>1</xdr:col>
          <xdr:colOff>165100</xdr:colOff>
          <xdr:row>41</xdr:row>
          <xdr:rowOff>88900</xdr:rowOff>
        </xdr:to>
        <xdr:sp macro="" textlink="">
          <xdr:nvSpPr>
            <xdr:cNvPr id="3038" name="Check Box 2014" hidden="1">
              <a:extLst>
                <a:ext uri="{63B3BB69-23CF-44E3-9099-C40C66FF867C}">
                  <a14:compatExt spid="_x0000_s3038"/>
                </a:ext>
                <a:ext uri="{FF2B5EF4-FFF2-40B4-BE49-F238E27FC236}">
                  <a16:creationId xmlns:a16="http://schemas.microsoft.com/office/drawing/2014/main" id="{00000000-0008-0000-0000-0000DE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40</xdr:row>
          <xdr:rowOff>114300</xdr:rowOff>
        </xdr:from>
        <xdr:to>
          <xdr:col>1</xdr:col>
          <xdr:colOff>165100</xdr:colOff>
          <xdr:row>41</xdr:row>
          <xdr:rowOff>88900</xdr:rowOff>
        </xdr:to>
        <xdr:sp macro="" textlink="">
          <xdr:nvSpPr>
            <xdr:cNvPr id="3039" name="Check Box 2015" hidden="1">
              <a:extLst>
                <a:ext uri="{63B3BB69-23CF-44E3-9099-C40C66FF867C}">
                  <a14:compatExt spid="_x0000_s3039"/>
                </a:ext>
                <a:ext uri="{FF2B5EF4-FFF2-40B4-BE49-F238E27FC236}">
                  <a16:creationId xmlns:a16="http://schemas.microsoft.com/office/drawing/2014/main" id="{00000000-0008-0000-0000-0000DF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40</xdr:row>
          <xdr:rowOff>114300</xdr:rowOff>
        </xdr:from>
        <xdr:to>
          <xdr:col>1</xdr:col>
          <xdr:colOff>165100</xdr:colOff>
          <xdr:row>41</xdr:row>
          <xdr:rowOff>88900</xdr:rowOff>
        </xdr:to>
        <xdr:sp macro="" textlink="">
          <xdr:nvSpPr>
            <xdr:cNvPr id="3040" name="Check Box 2016" hidden="1">
              <a:extLst>
                <a:ext uri="{63B3BB69-23CF-44E3-9099-C40C66FF867C}">
                  <a14:compatExt spid="_x0000_s3040"/>
                </a:ext>
                <a:ext uri="{FF2B5EF4-FFF2-40B4-BE49-F238E27FC236}">
                  <a16:creationId xmlns:a16="http://schemas.microsoft.com/office/drawing/2014/main" id="{00000000-0008-0000-0000-0000E0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40</xdr:row>
          <xdr:rowOff>114300</xdr:rowOff>
        </xdr:from>
        <xdr:to>
          <xdr:col>1</xdr:col>
          <xdr:colOff>165100</xdr:colOff>
          <xdr:row>41</xdr:row>
          <xdr:rowOff>88900</xdr:rowOff>
        </xdr:to>
        <xdr:sp macro="" textlink="">
          <xdr:nvSpPr>
            <xdr:cNvPr id="3041" name="Check Box 2017" hidden="1">
              <a:extLst>
                <a:ext uri="{63B3BB69-23CF-44E3-9099-C40C66FF867C}">
                  <a14:compatExt spid="_x0000_s3041"/>
                </a:ext>
                <a:ext uri="{FF2B5EF4-FFF2-40B4-BE49-F238E27FC236}">
                  <a16:creationId xmlns:a16="http://schemas.microsoft.com/office/drawing/2014/main" id="{00000000-0008-0000-0000-0000E1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42" name="Check Box 2018" hidden="1">
              <a:extLst>
                <a:ext uri="{63B3BB69-23CF-44E3-9099-C40C66FF867C}">
                  <a14:compatExt spid="_x0000_s3042"/>
                </a:ext>
                <a:ext uri="{FF2B5EF4-FFF2-40B4-BE49-F238E27FC236}">
                  <a16:creationId xmlns:a16="http://schemas.microsoft.com/office/drawing/2014/main" id="{00000000-0008-0000-0000-0000E2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43" name="Check Box 2019" hidden="1">
              <a:extLst>
                <a:ext uri="{63B3BB69-23CF-44E3-9099-C40C66FF867C}">
                  <a14:compatExt spid="_x0000_s3043"/>
                </a:ext>
                <a:ext uri="{FF2B5EF4-FFF2-40B4-BE49-F238E27FC236}">
                  <a16:creationId xmlns:a16="http://schemas.microsoft.com/office/drawing/2014/main" id="{00000000-0008-0000-0000-0000E3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47" name="Check Box 2023" hidden="1">
              <a:extLst>
                <a:ext uri="{63B3BB69-23CF-44E3-9099-C40C66FF867C}">
                  <a14:compatExt spid="_x0000_s3047"/>
                </a:ext>
                <a:ext uri="{FF2B5EF4-FFF2-40B4-BE49-F238E27FC236}">
                  <a16:creationId xmlns:a16="http://schemas.microsoft.com/office/drawing/2014/main" id="{00000000-0008-0000-0000-0000E7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48" name="Check Box 2024" hidden="1">
              <a:extLst>
                <a:ext uri="{63B3BB69-23CF-44E3-9099-C40C66FF867C}">
                  <a14:compatExt spid="_x0000_s3048"/>
                </a:ext>
                <a:ext uri="{FF2B5EF4-FFF2-40B4-BE49-F238E27FC236}">
                  <a16:creationId xmlns:a16="http://schemas.microsoft.com/office/drawing/2014/main" id="{00000000-0008-0000-0000-0000E8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49" name="Check Box 2025" hidden="1">
              <a:extLst>
                <a:ext uri="{63B3BB69-23CF-44E3-9099-C40C66FF867C}">
                  <a14:compatExt spid="_x0000_s3049"/>
                </a:ext>
                <a:ext uri="{FF2B5EF4-FFF2-40B4-BE49-F238E27FC236}">
                  <a16:creationId xmlns:a16="http://schemas.microsoft.com/office/drawing/2014/main" id="{00000000-0008-0000-0000-0000E9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50" name="Check Box 2026" hidden="1">
              <a:extLst>
                <a:ext uri="{63B3BB69-23CF-44E3-9099-C40C66FF867C}">
                  <a14:compatExt spid="_x0000_s3050"/>
                </a:ext>
                <a:ext uri="{FF2B5EF4-FFF2-40B4-BE49-F238E27FC236}">
                  <a16:creationId xmlns:a16="http://schemas.microsoft.com/office/drawing/2014/main" id="{00000000-0008-0000-0000-0000EA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51" name="Check Box 2027" hidden="1">
              <a:extLst>
                <a:ext uri="{63B3BB69-23CF-44E3-9099-C40C66FF867C}">
                  <a14:compatExt spid="_x0000_s3051"/>
                </a:ext>
                <a:ext uri="{FF2B5EF4-FFF2-40B4-BE49-F238E27FC236}">
                  <a16:creationId xmlns:a16="http://schemas.microsoft.com/office/drawing/2014/main" id="{00000000-0008-0000-0000-0000EB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52" name="Check Box 2028" hidden="1">
              <a:extLst>
                <a:ext uri="{63B3BB69-23CF-44E3-9099-C40C66FF867C}">
                  <a14:compatExt spid="_x0000_s3052"/>
                </a:ext>
                <a:ext uri="{FF2B5EF4-FFF2-40B4-BE49-F238E27FC236}">
                  <a16:creationId xmlns:a16="http://schemas.microsoft.com/office/drawing/2014/main" id="{00000000-0008-0000-0000-0000EC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53" name="Check Box 2029" hidden="1">
              <a:extLst>
                <a:ext uri="{63B3BB69-23CF-44E3-9099-C40C66FF867C}">
                  <a14:compatExt spid="_x0000_s3053"/>
                </a:ext>
                <a:ext uri="{FF2B5EF4-FFF2-40B4-BE49-F238E27FC236}">
                  <a16:creationId xmlns:a16="http://schemas.microsoft.com/office/drawing/2014/main" id="{00000000-0008-0000-0000-0000ED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54" name="Check Box 2030" hidden="1">
              <a:extLst>
                <a:ext uri="{63B3BB69-23CF-44E3-9099-C40C66FF867C}">
                  <a14:compatExt spid="_x0000_s3054"/>
                </a:ext>
                <a:ext uri="{FF2B5EF4-FFF2-40B4-BE49-F238E27FC236}">
                  <a16:creationId xmlns:a16="http://schemas.microsoft.com/office/drawing/2014/main" id="{00000000-0008-0000-0000-0000EE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55" name="Check Box 2031" hidden="1">
              <a:extLst>
                <a:ext uri="{63B3BB69-23CF-44E3-9099-C40C66FF867C}">
                  <a14:compatExt spid="_x0000_s3055"/>
                </a:ext>
                <a:ext uri="{FF2B5EF4-FFF2-40B4-BE49-F238E27FC236}">
                  <a16:creationId xmlns:a16="http://schemas.microsoft.com/office/drawing/2014/main" id="{00000000-0008-0000-0000-0000EF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56" name="Check Box 2032" hidden="1">
              <a:extLst>
                <a:ext uri="{63B3BB69-23CF-44E3-9099-C40C66FF867C}">
                  <a14:compatExt spid="_x0000_s3056"/>
                </a:ext>
                <a:ext uri="{FF2B5EF4-FFF2-40B4-BE49-F238E27FC236}">
                  <a16:creationId xmlns:a16="http://schemas.microsoft.com/office/drawing/2014/main" id="{00000000-0008-0000-0000-0000F0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58" name="Check Box 2034" hidden="1">
              <a:extLst>
                <a:ext uri="{63B3BB69-23CF-44E3-9099-C40C66FF867C}">
                  <a14:compatExt spid="_x0000_s3058"/>
                </a:ext>
                <a:ext uri="{FF2B5EF4-FFF2-40B4-BE49-F238E27FC236}">
                  <a16:creationId xmlns:a16="http://schemas.microsoft.com/office/drawing/2014/main" id="{00000000-0008-0000-0000-0000F2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59" name="Check Box 2035" hidden="1">
              <a:extLst>
                <a:ext uri="{63B3BB69-23CF-44E3-9099-C40C66FF867C}">
                  <a14:compatExt spid="_x0000_s3059"/>
                </a:ext>
                <a:ext uri="{FF2B5EF4-FFF2-40B4-BE49-F238E27FC236}">
                  <a16:creationId xmlns:a16="http://schemas.microsoft.com/office/drawing/2014/main" id="{00000000-0008-0000-0000-0000F3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0" name="Check Box 2036" hidden="1">
              <a:extLst>
                <a:ext uri="{63B3BB69-23CF-44E3-9099-C40C66FF867C}">
                  <a14:compatExt spid="_x0000_s3060"/>
                </a:ext>
                <a:ext uri="{FF2B5EF4-FFF2-40B4-BE49-F238E27FC236}">
                  <a16:creationId xmlns:a16="http://schemas.microsoft.com/office/drawing/2014/main" id="{00000000-0008-0000-0000-0000F4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1" name="Check Box 2037" hidden="1">
              <a:extLst>
                <a:ext uri="{63B3BB69-23CF-44E3-9099-C40C66FF867C}">
                  <a14:compatExt spid="_x0000_s3061"/>
                </a:ext>
                <a:ext uri="{FF2B5EF4-FFF2-40B4-BE49-F238E27FC236}">
                  <a16:creationId xmlns:a16="http://schemas.microsoft.com/office/drawing/2014/main" id="{00000000-0008-0000-0000-0000F5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4" name="Check Box 2040" hidden="1">
              <a:extLst>
                <a:ext uri="{63B3BB69-23CF-44E3-9099-C40C66FF867C}">
                  <a14:compatExt spid="_x0000_s3064"/>
                </a:ext>
                <a:ext uri="{FF2B5EF4-FFF2-40B4-BE49-F238E27FC236}">
                  <a16:creationId xmlns:a16="http://schemas.microsoft.com/office/drawing/2014/main" id="{00000000-0008-0000-0000-0000F8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5" name="Check Box 2041" hidden="1">
              <a:extLst>
                <a:ext uri="{63B3BB69-23CF-44E3-9099-C40C66FF867C}">
                  <a14:compatExt spid="_x0000_s3065"/>
                </a:ext>
                <a:ext uri="{FF2B5EF4-FFF2-40B4-BE49-F238E27FC236}">
                  <a16:creationId xmlns:a16="http://schemas.microsoft.com/office/drawing/2014/main" id="{00000000-0008-0000-0000-0000F9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6" name="Check Box 2042" hidden="1">
              <a:extLst>
                <a:ext uri="{63B3BB69-23CF-44E3-9099-C40C66FF867C}">
                  <a14:compatExt spid="_x0000_s3066"/>
                </a:ext>
                <a:ext uri="{FF2B5EF4-FFF2-40B4-BE49-F238E27FC236}">
                  <a16:creationId xmlns:a16="http://schemas.microsoft.com/office/drawing/2014/main" id="{00000000-0008-0000-0000-0000FA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7" name="Check Box 2043" hidden="1">
              <a:extLst>
                <a:ext uri="{63B3BB69-23CF-44E3-9099-C40C66FF867C}">
                  <a14:compatExt spid="_x0000_s3067"/>
                </a:ext>
                <a:ext uri="{FF2B5EF4-FFF2-40B4-BE49-F238E27FC236}">
                  <a16:creationId xmlns:a16="http://schemas.microsoft.com/office/drawing/2014/main" id="{00000000-0008-0000-0000-0000FB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8" name="Check Box 2044" hidden="1">
              <a:extLst>
                <a:ext uri="{63B3BB69-23CF-44E3-9099-C40C66FF867C}">
                  <a14:compatExt spid="_x0000_s3068"/>
                </a:ext>
                <a:ext uri="{FF2B5EF4-FFF2-40B4-BE49-F238E27FC236}">
                  <a16:creationId xmlns:a16="http://schemas.microsoft.com/office/drawing/2014/main" id="{00000000-0008-0000-0000-0000FC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9" name="Check Box 2045" hidden="1">
              <a:extLst>
                <a:ext uri="{63B3BB69-23CF-44E3-9099-C40C66FF867C}">
                  <a14:compatExt spid="_x0000_s3069"/>
                </a:ext>
                <a:ext uri="{FF2B5EF4-FFF2-40B4-BE49-F238E27FC236}">
                  <a16:creationId xmlns:a16="http://schemas.microsoft.com/office/drawing/2014/main" id="{00000000-0008-0000-0000-0000FD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24" name="Check Box 2052"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25" name="Check Box 2053"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26" name="Check Box 2054"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27" name="Check Box 2055"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28" name="Check Box 2056"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29" name="Check Box 2057"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0" name="Check Box 2058"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1" name="Check Box 2059"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2" name="Check Box 2060"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3" name="Check Box 2061"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4" name="Check Box 2062"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5" name="Check Box 2063"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6" name="Check Box 2064"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7" name="Check Box 2065"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9CFD22A2-4727-4C1B-83BD-92CDC501259E}">
  <we:reference id="wa200003696" version="1.3.0.0" store="zh-CN" storeType="OMEX"/>
  <we:alternateReferences>
    <we:reference id="WA200003696" version="1.3.0.0" store=""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B867B85C-A15D-4AD4-A744-2F3DEBB46254}">
  <we:reference id="wa200005271" version="2.5.4.0" store="en-US" storeType="OMEX"/>
  <we:alternateReferences>
    <we:reference id="wa200005271" version="2.5.4.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BB3572F9-0D3C-48B0-8F12-2D06E87A2520}">
  <we:reference id="wa200005502" version="1.0.0.11" store="zh-CN" storeType="OMEX"/>
  <we:alternateReferences>
    <we:reference id="wa200005502" version="1.0.0.11" store="" storeType="OMEX"/>
  </we:alternateReferences>
  <we:properties>
    <we:property name="docId" value="&quot;-oZB-_HnEl8NCWtLw0TUo&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C459C-1D04-4112-855C-3223DA224BC7}">
  <sheetPr codeName="Sheet1">
    <pageSetUpPr fitToPage="1"/>
  </sheetPr>
  <dimension ref="B1:DZ69"/>
  <sheetViews>
    <sheetView tabSelected="1" view="pageBreakPreview" topLeftCell="A35" zoomScale="158" zoomScaleNormal="115" zoomScaleSheetLayoutView="70" workbookViewId="0">
      <selection activeCell="A45" sqref="A45:XFD45"/>
    </sheetView>
  </sheetViews>
  <sheetFormatPr baseColWidth="10" defaultColWidth="9.1640625" defaultRowHeight="12.75" customHeight="1"/>
  <cols>
    <col min="1" max="1" width="2.5" style="1" customWidth="1"/>
    <col min="2" max="2" width="2.83203125" style="1" customWidth="1"/>
    <col min="3" max="3" width="3" style="1" customWidth="1"/>
    <col min="4" max="4" width="2.5" style="1" customWidth="1"/>
    <col min="5" max="5" width="3.1640625" style="1" customWidth="1"/>
    <col min="6" max="6" width="3" style="1" customWidth="1"/>
    <col min="7" max="7" width="2.1640625" style="1" customWidth="1"/>
    <col min="8" max="27" width="1.6640625" style="1" customWidth="1"/>
    <col min="28" max="28" width="4.83203125" style="1" customWidth="1"/>
    <col min="29" max="35" width="1.6640625" style="1" customWidth="1"/>
    <col min="36" max="36" width="0.33203125" style="1" customWidth="1"/>
    <col min="37" max="40" width="1.6640625" style="1" hidden="1" customWidth="1"/>
    <col min="41" max="41" width="5.33203125" style="1" hidden="1" customWidth="1"/>
    <col min="42" max="42" width="16.5" style="1" customWidth="1"/>
    <col min="43" max="51" width="1.6640625" style="1" customWidth="1"/>
    <col min="52" max="52" width="14.83203125" style="1" customWidth="1"/>
    <col min="53" max="53" width="2.5" style="1" customWidth="1"/>
    <col min="54" max="54" width="5.83203125" style="1" customWidth="1"/>
    <col min="55" max="55" width="2" style="1" hidden="1" customWidth="1"/>
    <col min="56" max="56" width="2.5" style="1" hidden="1" customWidth="1"/>
    <col min="57" max="57" width="1.6640625" style="1" hidden="1" customWidth="1"/>
    <col min="58" max="58" width="0.33203125" style="1" hidden="1" customWidth="1"/>
    <col min="59" max="59" width="1.6640625" style="1" hidden="1" customWidth="1"/>
    <col min="60" max="62" width="0.1640625" style="1" hidden="1" customWidth="1"/>
    <col min="63" max="63" width="12" customWidth="1"/>
    <col min="64" max="64" width="1.6640625" customWidth="1"/>
    <col min="65" max="65" width="7" customWidth="1"/>
    <col min="66" max="66" width="9.33203125" customWidth="1"/>
    <col min="67" max="68" width="1.6640625" customWidth="1"/>
    <col min="69" max="69" width="6.5" customWidth="1"/>
    <col min="70" max="73" width="1.6640625" customWidth="1"/>
    <col min="74" max="74" width="2.1640625" customWidth="1"/>
    <col min="75" max="79" width="1.6640625" customWidth="1"/>
    <col min="80" max="80" width="2" customWidth="1"/>
    <col min="81" max="81" width="2.5" customWidth="1"/>
    <col min="82" max="82" width="13" customWidth="1"/>
    <col min="83" max="84" width="1.6640625" customWidth="1"/>
    <col min="85" max="85" width="6.5" customWidth="1"/>
    <col min="86" max="86" width="5.83203125" customWidth="1"/>
    <col min="87" max="87" width="13.1640625" customWidth="1"/>
    <col min="88" max="88" width="1.83203125" customWidth="1"/>
    <col min="89" max="89" width="1.6640625" customWidth="1"/>
    <col min="90" max="90" width="5.33203125" customWidth="1"/>
    <col min="91" max="107" width="1.6640625" customWidth="1"/>
    <col min="108" max="108" width="3.33203125" customWidth="1"/>
    <col min="109" max="109" width="1.6640625" customWidth="1"/>
    <col min="110" max="113" width="1.6640625" style="1" customWidth="1"/>
    <col min="114" max="114" width="2.83203125" style="1" customWidth="1"/>
    <col min="115" max="115" width="2.5" style="1" customWidth="1"/>
    <col min="116" max="123" width="1.6640625" style="1" customWidth="1"/>
    <col min="124" max="124" width="3.33203125" style="1" bestFit="1" customWidth="1"/>
    <col min="125" max="16384" width="9.1640625" style="1"/>
  </cols>
  <sheetData>
    <row r="1" spans="2:124" ht="13.5" customHeight="1" thickBot="1"/>
    <row r="2" spans="2:124" ht="12.75" customHeight="1">
      <c r="B2" s="95" t="s">
        <v>0</v>
      </c>
      <c r="C2" s="96"/>
      <c r="D2" s="96"/>
      <c r="E2" s="96"/>
      <c r="F2" s="96"/>
      <c r="G2" s="97"/>
      <c r="H2" s="132" t="s">
        <v>8</v>
      </c>
      <c r="I2" s="133"/>
      <c r="J2" s="133"/>
      <c r="K2" s="133"/>
      <c r="L2" s="133"/>
      <c r="M2" s="133"/>
      <c r="N2" s="133"/>
      <c r="O2" s="133"/>
      <c r="P2" s="133"/>
      <c r="Q2" s="133"/>
      <c r="R2" s="133"/>
      <c r="S2" s="133"/>
      <c r="T2" s="133"/>
      <c r="U2" s="133"/>
      <c r="V2" s="133"/>
      <c r="W2" s="133"/>
      <c r="X2" s="133"/>
      <c r="Y2" s="133"/>
      <c r="Z2" s="133"/>
      <c r="AA2" s="133"/>
      <c r="AB2" s="133"/>
      <c r="AC2" s="133"/>
      <c r="AD2" s="133"/>
      <c r="AE2" s="133"/>
      <c r="AF2" s="133"/>
      <c r="AG2" s="133"/>
      <c r="AH2" s="133"/>
      <c r="AI2" s="133"/>
      <c r="AJ2" s="133"/>
      <c r="AK2" s="133"/>
      <c r="AL2" s="133"/>
      <c r="AM2" s="133"/>
      <c r="AN2" s="133"/>
      <c r="AO2" s="133"/>
      <c r="AP2" s="133"/>
      <c r="AQ2" s="133"/>
      <c r="AR2" s="133"/>
      <c r="AS2" s="133"/>
      <c r="AT2" s="133"/>
      <c r="AU2" s="133"/>
      <c r="AV2" s="133"/>
      <c r="AW2" s="133"/>
      <c r="AX2" s="133"/>
      <c r="AY2" s="133"/>
      <c r="AZ2" s="133"/>
      <c r="BA2" s="133"/>
      <c r="BB2" s="133"/>
      <c r="BC2" s="133"/>
      <c r="BD2" s="133"/>
      <c r="BE2" s="133"/>
      <c r="BF2" s="133"/>
      <c r="BG2" s="133"/>
      <c r="BH2" s="133"/>
      <c r="BI2" s="133"/>
      <c r="BJ2" s="134"/>
      <c r="BK2" s="126" t="s">
        <v>11</v>
      </c>
      <c r="BL2" s="127"/>
      <c r="BM2" s="127"/>
      <c r="BN2" s="127"/>
      <c r="BO2" s="127"/>
      <c r="BP2" s="128"/>
      <c r="BQ2" s="117" t="s">
        <v>12</v>
      </c>
      <c r="BR2" s="118"/>
      <c r="BS2" s="119"/>
      <c r="BT2" s="199" t="s">
        <v>15</v>
      </c>
      <c r="BU2" s="200"/>
      <c r="BV2" s="200"/>
      <c r="BW2" s="200"/>
      <c r="BX2" s="200"/>
      <c r="BY2" s="200"/>
      <c r="BZ2" s="200"/>
      <c r="CA2" s="200"/>
      <c r="CB2" s="200"/>
      <c r="CC2" s="201"/>
      <c r="CD2" s="208" t="s">
        <v>17</v>
      </c>
      <c r="CE2" s="209"/>
      <c r="CF2" s="209"/>
      <c r="CG2" s="209"/>
      <c r="CH2" s="209"/>
      <c r="CI2" s="209"/>
      <c r="CJ2" s="209"/>
      <c r="CK2" s="209"/>
      <c r="CL2" s="209"/>
      <c r="CM2" s="209"/>
      <c r="CN2" s="209"/>
      <c r="CO2" s="209"/>
      <c r="CP2" s="209"/>
      <c r="CQ2" s="209"/>
      <c r="CR2" s="209"/>
      <c r="CS2" s="209"/>
      <c r="CT2" s="209"/>
      <c r="CU2" s="209"/>
      <c r="CV2" s="209"/>
      <c r="CW2" s="209"/>
      <c r="CX2" s="209"/>
      <c r="CY2" s="209"/>
      <c r="CZ2" s="209"/>
      <c r="DA2" s="209"/>
      <c r="DB2" s="209"/>
      <c r="DC2" s="209"/>
      <c r="DD2" s="209"/>
      <c r="DE2" s="209"/>
      <c r="DF2" s="209"/>
      <c r="DG2" s="209"/>
      <c r="DH2" s="209"/>
      <c r="DI2" s="210"/>
      <c r="DJ2" s="144" t="s">
        <v>50</v>
      </c>
      <c r="DK2" s="145"/>
      <c r="DL2" s="145"/>
      <c r="DM2" s="146"/>
      <c r="DN2" s="144" t="s">
        <v>56</v>
      </c>
      <c r="DO2" s="145"/>
      <c r="DP2" s="145"/>
      <c r="DQ2" s="145"/>
      <c r="DR2" s="145"/>
      <c r="DS2" s="151"/>
    </row>
    <row r="3" spans="2:124" ht="12.75" customHeight="1">
      <c r="B3" s="98"/>
      <c r="C3" s="99"/>
      <c r="D3" s="99"/>
      <c r="E3" s="99"/>
      <c r="F3" s="99"/>
      <c r="G3" s="100"/>
      <c r="H3" s="135"/>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7"/>
      <c r="BK3" s="129"/>
      <c r="BL3" s="130"/>
      <c r="BM3" s="130"/>
      <c r="BN3" s="130"/>
      <c r="BO3" s="130"/>
      <c r="BP3" s="131"/>
      <c r="BQ3" s="120"/>
      <c r="BR3" s="121"/>
      <c r="BS3" s="122"/>
      <c r="BT3" s="202"/>
      <c r="BU3" s="203"/>
      <c r="BV3" s="203"/>
      <c r="BW3" s="203"/>
      <c r="BX3" s="203"/>
      <c r="BY3" s="203"/>
      <c r="BZ3" s="203"/>
      <c r="CA3" s="203"/>
      <c r="CB3" s="203"/>
      <c r="CC3" s="204"/>
      <c r="CD3" s="211"/>
      <c r="CE3" s="212"/>
      <c r="CF3" s="212"/>
      <c r="CG3" s="212"/>
      <c r="CH3" s="212"/>
      <c r="CI3" s="212"/>
      <c r="CJ3" s="212"/>
      <c r="CK3" s="212"/>
      <c r="CL3" s="212"/>
      <c r="CM3" s="212"/>
      <c r="CN3" s="212"/>
      <c r="CO3" s="212"/>
      <c r="CP3" s="212"/>
      <c r="CQ3" s="212"/>
      <c r="CR3" s="212"/>
      <c r="CS3" s="212"/>
      <c r="CT3" s="212"/>
      <c r="CU3" s="212"/>
      <c r="CV3" s="212"/>
      <c r="CW3" s="212"/>
      <c r="CX3" s="212"/>
      <c r="CY3" s="212"/>
      <c r="CZ3" s="212"/>
      <c r="DA3" s="212"/>
      <c r="DB3" s="212"/>
      <c r="DC3" s="212"/>
      <c r="DD3" s="212"/>
      <c r="DE3" s="212"/>
      <c r="DF3" s="212"/>
      <c r="DG3" s="212"/>
      <c r="DH3" s="212"/>
      <c r="DI3" s="213"/>
      <c r="DJ3" s="147"/>
      <c r="DK3" s="148"/>
      <c r="DL3" s="148"/>
      <c r="DM3" s="149"/>
      <c r="DN3" s="147"/>
      <c r="DO3" s="148"/>
      <c r="DP3" s="148"/>
      <c r="DQ3" s="148"/>
      <c r="DR3" s="148"/>
      <c r="DS3" s="152"/>
    </row>
    <row r="4" spans="2:124" ht="12.75" customHeight="1">
      <c r="B4" s="98"/>
      <c r="C4" s="99"/>
      <c r="D4" s="99"/>
      <c r="E4" s="99"/>
      <c r="F4" s="99"/>
      <c r="G4" s="100"/>
      <c r="H4" s="106" t="s">
        <v>1</v>
      </c>
      <c r="I4" s="107"/>
      <c r="J4" s="107"/>
      <c r="K4" s="107"/>
      <c r="L4" s="108"/>
      <c r="M4" s="110" t="s">
        <v>2</v>
      </c>
      <c r="N4" s="107"/>
      <c r="O4" s="107"/>
      <c r="P4" s="108"/>
      <c r="Q4" s="111" t="s">
        <v>3</v>
      </c>
      <c r="R4" s="112"/>
      <c r="S4" s="112"/>
      <c r="T4" s="113"/>
      <c r="U4" s="110" t="s">
        <v>4</v>
      </c>
      <c r="V4" s="107"/>
      <c r="W4" s="107"/>
      <c r="X4" s="107"/>
      <c r="Y4" s="107"/>
      <c r="Z4" s="107"/>
      <c r="AA4" s="108"/>
      <c r="AB4" s="106" t="s">
        <v>5</v>
      </c>
      <c r="AC4" s="107"/>
      <c r="AD4" s="107"/>
      <c r="AE4" s="107"/>
      <c r="AF4" s="107"/>
      <c r="AG4" s="107"/>
      <c r="AH4" s="107"/>
      <c r="AI4" s="107"/>
      <c r="AJ4" s="107"/>
      <c r="AK4" s="107"/>
      <c r="AL4" s="107"/>
      <c r="AM4" s="107"/>
      <c r="AN4" s="108"/>
      <c r="AO4" s="106" t="s">
        <v>6</v>
      </c>
      <c r="AP4" s="107"/>
      <c r="AQ4" s="107"/>
      <c r="AR4" s="107"/>
      <c r="AS4" s="107"/>
      <c r="AT4" s="107"/>
      <c r="AU4" s="107"/>
      <c r="AV4" s="107"/>
      <c r="AW4" s="107"/>
      <c r="AX4" s="107"/>
      <c r="AY4" s="108"/>
      <c r="AZ4" s="110" t="s">
        <v>7</v>
      </c>
      <c r="BA4" s="107"/>
      <c r="BB4" s="107"/>
      <c r="BC4" s="107"/>
      <c r="BD4" s="107"/>
      <c r="BE4" s="107"/>
      <c r="BF4" s="107"/>
      <c r="BG4" s="107"/>
      <c r="BH4" s="107"/>
      <c r="BI4" s="107"/>
      <c r="BJ4" s="108"/>
      <c r="BK4" s="138" t="s">
        <v>9</v>
      </c>
      <c r="BL4" s="139" t="s">
        <v>62</v>
      </c>
      <c r="BM4" s="140"/>
      <c r="BN4" s="143" t="s">
        <v>10</v>
      </c>
      <c r="BO4" s="139" t="s">
        <v>54</v>
      </c>
      <c r="BP4" s="140"/>
      <c r="BQ4" s="120"/>
      <c r="BR4" s="121"/>
      <c r="BS4" s="122"/>
      <c r="BT4" s="190" t="s">
        <v>13</v>
      </c>
      <c r="BU4" s="191"/>
      <c r="BV4" s="192"/>
      <c r="BW4" s="183" t="s">
        <v>51</v>
      </c>
      <c r="BX4" s="184"/>
      <c r="BY4" s="184"/>
      <c r="BZ4" s="185"/>
      <c r="CA4" s="190" t="s">
        <v>14</v>
      </c>
      <c r="CB4" s="191"/>
      <c r="CC4" s="192"/>
      <c r="CD4" s="189" t="s">
        <v>63</v>
      </c>
      <c r="CE4" s="139"/>
      <c r="CF4" s="140"/>
      <c r="CG4" s="189" t="s">
        <v>64</v>
      </c>
      <c r="CH4" s="139"/>
      <c r="CI4" s="139"/>
      <c r="CJ4" s="140"/>
      <c r="CK4" s="183" t="s">
        <v>51</v>
      </c>
      <c r="CL4" s="185"/>
      <c r="CM4" s="205" t="s">
        <v>47</v>
      </c>
      <c r="CN4" s="206"/>
      <c r="CO4" s="206"/>
      <c r="CP4" s="206"/>
      <c r="CQ4" s="206"/>
      <c r="CR4" s="206"/>
      <c r="CS4" s="207"/>
      <c r="CT4" s="183" t="s">
        <v>53</v>
      </c>
      <c r="CU4" s="184"/>
      <c r="CV4" s="184"/>
      <c r="CW4" s="184"/>
      <c r="CX4" s="184"/>
      <c r="CY4" s="184"/>
      <c r="CZ4" s="185"/>
      <c r="DA4" s="183" t="s">
        <v>52</v>
      </c>
      <c r="DB4" s="184"/>
      <c r="DC4" s="184"/>
      <c r="DD4" s="184"/>
      <c r="DE4" s="185"/>
      <c r="DF4" s="143" t="s">
        <v>16</v>
      </c>
      <c r="DG4" s="214"/>
      <c r="DH4" s="214"/>
      <c r="DI4" s="215"/>
      <c r="DJ4" s="147"/>
      <c r="DK4" s="148"/>
      <c r="DL4" s="148"/>
      <c r="DM4" s="149"/>
      <c r="DN4" s="147"/>
      <c r="DO4" s="148"/>
      <c r="DP4" s="148"/>
      <c r="DQ4" s="148"/>
      <c r="DR4" s="148"/>
      <c r="DS4" s="152"/>
    </row>
    <row r="5" spans="2:124" ht="20.25" customHeight="1" thickBot="1">
      <c r="B5" s="101"/>
      <c r="C5" s="102"/>
      <c r="D5" s="102"/>
      <c r="E5" s="102"/>
      <c r="F5" s="102"/>
      <c r="G5" s="103"/>
      <c r="H5" s="109"/>
      <c r="I5" s="102"/>
      <c r="J5" s="102"/>
      <c r="K5" s="102"/>
      <c r="L5" s="103"/>
      <c r="M5" s="109"/>
      <c r="N5" s="102"/>
      <c r="O5" s="102"/>
      <c r="P5" s="103"/>
      <c r="Q5" s="114"/>
      <c r="R5" s="115"/>
      <c r="S5" s="115"/>
      <c r="T5" s="116"/>
      <c r="U5" s="109"/>
      <c r="V5" s="102"/>
      <c r="W5" s="102"/>
      <c r="X5" s="102"/>
      <c r="Y5" s="102"/>
      <c r="Z5" s="102"/>
      <c r="AA5" s="103"/>
      <c r="AB5" s="109"/>
      <c r="AC5" s="102"/>
      <c r="AD5" s="102"/>
      <c r="AE5" s="102"/>
      <c r="AF5" s="102"/>
      <c r="AG5" s="102"/>
      <c r="AH5" s="102"/>
      <c r="AI5" s="102"/>
      <c r="AJ5" s="102"/>
      <c r="AK5" s="102"/>
      <c r="AL5" s="102"/>
      <c r="AM5" s="102"/>
      <c r="AN5" s="103"/>
      <c r="AO5" s="109"/>
      <c r="AP5" s="102"/>
      <c r="AQ5" s="102"/>
      <c r="AR5" s="102"/>
      <c r="AS5" s="102"/>
      <c r="AT5" s="102"/>
      <c r="AU5" s="102"/>
      <c r="AV5" s="102"/>
      <c r="AW5" s="102"/>
      <c r="AX5" s="102"/>
      <c r="AY5" s="103"/>
      <c r="AZ5" s="109"/>
      <c r="BA5" s="102"/>
      <c r="BB5" s="102"/>
      <c r="BC5" s="102"/>
      <c r="BD5" s="102"/>
      <c r="BE5" s="102"/>
      <c r="BF5" s="102"/>
      <c r="BG5" s="102"/>
      <c r="BH5" s="102"/>
      <c r="BI5" s="102"/>
      <c r="BJ5" s="103"/>
      <c r="BK5" s="123"/>
      <c r="BL5" s="141"/>
      <c r="BM5" s="142"/>
      <c r="BN5" s="123"/>
      <c r="BO5" s="141"/>
      <c r="BP5" s="142"/>
      <c r="BQ5" s="123"/>
      <c r="BR5" s="124"/>
      <c r="BS5" s="125"/>
      <c r="BT5" s="193"/>
      <c r="BU5" s="194"/>
      <c r="BV5" s="195"/>
      <c r="BW5" s="186"/>
      <c r="BX5" s="187"/>
      <c r="BY5" s="187"/>
      <c r="BZ5" s="188"/>
      <c r="CA5" s="193"/>
      <c r="CB5" s="194"/>
      <c r="CC5" s="195"/>
      <c r="CD5" s="150"/>
      <c r="CE5" s="141"/>
      <c r="CF5" s="142"/>
      <c r="CG5" s="150"/>
      <c r="CH5" s="141"/>
      <c r="CI5" s="141"/>
      <c r="CJ5" s="142"/>
      <c r="CK5" s="186"/>
      <c r="CL5" s="188"/>
      <c r="CM5" s="196" t="s">
        <v>49</v>
      </c>
      <c r="CN5" s="197"/>
      <c r="CO5" s="197"/>
      <c r="CP5" s="197"/>
      <c r="CQ5" s="197"/>
      <c r="CR5" s="197"/>
      <c r="CS5" s="198"/>
      <c r="CT5" s="186"/>
      <c r="CU5" s="187"/>
      <c r="CV5" s="187"/>
      <c r="CW5" s="187"/>
      <c r="CX5" s="187"/>
      <c r="CY5" s="187"/>
      <c r="CZ5" s="188"/>
      <c r="DA5" s="186"/>
      <c r="DB5" s="187"/>
      <c r="DC5" s="187"/>
      <c r="DD5" s="187"/>
      <c r="DE5" s="188"/>
      <c r="DF5" s="123"/>
      <c r="DG5" s="124"/>
      <c r="DH5" s="124"/>
      <c r="DI5" s="125"/>
      <c r="DJ5" s="150"/>
      <c r="DK5" s="141"/>
      <c r="DL5" s="141"/>
      <c r="DM5" s="142"/>
      <c r="DN5" s="150"/>
      <c r="DO5" s="141"/>
      <c r="DP5" s="141"/>
      <c r="DQ5" s="141"/>
      <c r="DR5" s="141"/>
      <c r="DS5" s="153"/>
    </row>
    <row r="6" spans="2:124" customFormat="1" ht="15" customHeight="1">
      <c r="B6" s="104">
        <v>4771</v>
      </c>
      <c r="C6" s="105" t="s">
        <v>73</v>
      </c>
      <c r="D6" s="105" t="s">
        <v>73</v>
      </c>
      <c r="E6" s="105" t="s">
        <v>73</v>
      </c>
      <c r="F6" s="105" t="s">
        <v>73</v>
      </c>
      <c r="G6" s="105" t="s">
        <v>73</v>
      </c>
      <c r="H6" s="105" t="s">
        <v>74</v>
      </c>
      <c r="I6" s="105" t="s">
        <v>74</v>
      </c>
      <c r="J6" s="105" t="s">
        <v>74</v>
      </c>
      <c r="K6" s="105" t="s">
        <v>74</v>
      </c>
      <c r="L6" s="105" t="s">
        <v>74</v>
      </c>
      <c r="M6" s="105" t="s">
        <v>75</v>
      </c>
      <c r="N6" s="105" t="s">
        <v>75</v>
      </c>
      <c r="O6" s="105" t="s">
        <v>75</v>
      </c>
      <c r="P6" s="105" t="s">
        <v>75</v>
      </c>
      <c r="Q6" s="105">
        <v>20</v>
      </c>
      <c r="R6" s="105" t="s">
        <v>76</v>
      </c>
      <c r="S6" s="105" t="s">
        <v>76</v>
      </c>
      <c r="T6" s="105" t="s">
        <v>76</v>
      </c>
      <c r="U6" s="105" t="s">
        <v>65</v>
      </c>
      <c r="V6" s="105" t="s">
        <v>65</v>
      </c>
      <c r="W6" s="105" t="s">
        <v>65</v>
      </c>
      <c r="X6" s="105" t="s">
        <v>65</v>
      </c>
      <c r="Y6" s="105" t="s">
        <v>65</v>
      </c>
      <c r="Z6" s="105" t="s">
        <v>65</v>
      </c>
      <c r="AA6" s="105" t="s">
        <v>65</v>
      </c>
      <c r="AB6" s="105" t="s">
        <v>261</v>
      </c>
      <c r="AC6" s="105" t="s">
        <v>77</v>
      </c>
      <c r="AD6" s="105" t="s">
        <v>77</v>
      </c>
      <c r="AE6" s="105" t="s">
        <v>77</v>
      </c>
      <c r="AF6" s="105" t="s">
        <v>77</v>
      </c>
      <c r="AG6" s="105" t="s">
        <v>77</v>
      </c>
      <c r="AH6" s="105" t="s">
        <v>77</v>
      </c>
      <c r="AI6" s="105" t="s">
        <v>77</v>
      </c>
      <c r="AJ6" s="105" t="s">
        <v>77</v>
      </c>
      <c r="AK6" s="105" t="s">
        <v>77</v>
      </c>
      <c r="AL6" s="105" t="s">
        <v>77</v>
      </c>
      <c r="AM6" s="105" t="s">
        <v>77</v>
      </c>
      <c r="AN6" s="105" t="s">
        <v>77</v>
      </c>
      <c r="AO6" s="105" t="s">
        <v>78</v>
      </c>
      <c r="AP6" s="105" t="s">
        <v>78</v>
      </c>
      <c r="AQ6" s="105" t="s">
        <v>78</v>
      </c>
      <c r="AR6" s="105" t="s">
        <v>78</v>
      </c>
      <c r="AS6" s="105" t="s">
        <v>78</v>
      </c>
      <c r="AT6" s="105" t="s">
        <v>78</v>
      </c>
      <c r="AU6" s="105" t="s">
        <v>78</v>
      </c>
      <c r="AV6" s="105" t="s">
        <v>78</v>
      </c>
      <c r="AW6" s="105" t="s">
        <v>78</v>
      </c>
      <c r="AX6" s="105" t="s">
        <v>78</v>
      </c>
      <c r="AY6" s="105" t="s">
        <v>78</v>
      </c>
      <c r="AZ6" s="105" t="s">
        <v>263</v>
      </c>
      <c r="BA6" s="105" t="s">
        <v>79</v>
      </c>
      <c r="BB6" s="105" t="s">
        <v>79</v>
      </c>
      <c r="BC6" s="105" t="s">
        <v>79</v>
      </c>
      <c r="BD6" s="105" t="s">
        <v>79</v>
      </c>
      <c r="BE6" s="105" t="s">
        <v>79</v>
      </c>
      <c r="BF6" s="105" t="s">
        <v>79</v>
      </c>
      <c r="BG6" s="105" t="s">
        <v>79</v>
      </c>
      <c r="BH6" s="105" t="s">
        <v>79</v>
      </c>
      <c r="BI6" s="105" t="s">
        <v>79</v>
      </c>
      <c r="BJ6" s="105" t="s">
        <v>79</v>
      </c>
      <c r="BK6" s="105">
        <v>200</v>
      </c>
      <c r="BL6" s="105">
        <v>200</v>
      </c>
      <c r="BM6" s="105">
        <v>200</v>
      </c>
      <c r="BN6" s="105">
        <v>200</v>
      </c>
      <c r="BO6" s="105">
        <v>300</v>
      </c>
      <c r="BP6" s="105">
        <v>300</v>
      </c>
      <c r="BQ6" s="26" t="s">
        <v>71</v>
      </c>
      <c r="BR6" s="26" t="s">
        <v>71</v>
      </c>
      <c r="BS6" s="26" t="s">
        <v>71</v>
      </c>
      <c r="BT6" s="105"/>
      <c r="BU6" s="105"/>
      <c r="BV6" s="105"/>
      <c r="BW6" s="105"/>
      <c r="BX6" s="105"/>
      <c r="BY6" s="105"/>
      <c r="BZ6" s="105"/>
      <c r="CA6" s="354"/>
      <c r="CB6" s="354"/>
      <c r="CC6" s="354"/>
      <c r="CD6" s="105">
        <v>125</v>
      </c>
      <c r="CE6" s="105">
        <v>124.759330549317</v>
      </c>
      <c r="CF6" s="105">
        <v>124.759330549317</v>
      </c>
      <c r="CG6" s="355">
        <v>146</v>
      </c>
      <c r="CH6" s="355">
        <v>162</v>
      </c>
      <c r="CI6" s="355">
        <v>162</v>
      </c>
      <c r="CJ6" s="355">
        <v>162</v>
      </c>
      <c r="CK6" s="354" t="s">
        <v>244</v>
      </c>
      <c r="CL6" s="354" t="s">
        <v>83</v>
      </c>
      <c r="CM6" s="105" t="s">
        <v>84</v>
      </c>
      <c r="CN6" s="105" t="s">
        <v>85</v>
      </c>
      <c r="CO6" s="105" t="s">
        <v>85</v>
      </c>
      <c r="CP6" s="105" t="s">
        <v>85</v>
      </c>
      <c r="CQ6" s="105" t="s">
        <v>85</v>
      </c>
      <c r="CR6" s="105" t="s">
        <v>85</v>
      </c>
      <c r="CS6" s="105" t="s">
        <v>85</v>
      </c>
      <c r="CT6" s="105">
        <v>0.63200000000000001</v>
      </c>
      <c r="CU6" s="105">
        <v>0.85</v>
      </c>
      <c r="CV6" s="105">
        <v>0.85</v>
      </c>
      <c r="CW6" s="105">
        <v>0.85</v>
      </c>
      <c r="CX6" s="105">
        <v>0.85</v>
      </c>
      <c r="CY6" s="105">
        <v>0.85</v>
      </c>
      <c r="CZ6" s="105">
        <v>0.85</v>
      </c>
      <c r="DA6" s="105"/>
      <c r="DB6" s="105"/>
      <c r="DC6" s="105"/>
      <c r="DD6" s="105"/>
      <c r="DE6" s="105"/>
      <c r="DF6" s="105"/>
      <c r="DG6" s="105"/>
      <c r="DH6" s="105"/>
      <c r="DI6" s="105"/>
      <c r="DJ6" s="105"/>
      <c r="DK6" s="105"/>
      <c r="DL6" s="105"/>
      <c r="DM6" s="105"/>
      <c r="DN6" s="105"/>
      <c r="DO6" s="105"/>
      <c r="DP6" s="105"/>
      <c r="DQ6" s="105"/>
      <c r="DR6" s="105"/>
      <c r="DS6" s="356"/>
      <c r="DT6" s="14">
        <v>1</v>
      </c>
    </row>
    <row r="7" spans="2:124" customFormat="1" ht="15">
      <c r="B7" s="28">
        <v>4772</v>
      </c>
      <c r="C7" s="29" t="s">
        <v>73</v>
      </c>
      <c r="D7" s="29" t="s">
        <v>73</v>
      </c>
      <c r="E7" s="29" t="s">
        <v>73</v>
      </c>
      <c r="F7" s="29" t="s">
        <v>73</v>
      </c>
      <c r="G7" s="29" t="s">
        <v>73</v>
      </c>
      <c r="H7" s="26" t="s">
        <v>74</v>
      </c>
      <c r="I7" s="26" t="s">
        <v>74</v>
      </c>
      <c r="J7" s="26" t="s">
        <v>74</v>
      </c>
      <c r="K7" s="26" t="s">
        <v>74</v>
      </c>
      <c r="L7" s="26" t="s">
        <v>74</v>
      </c>
      <c r="M7" s="26" t="s">
        <v>86</v>
      </c>
      <c r="N7" s="26" t="s">
        <v>86</v>
      </c>
      <c r="O7" s="26" t="s">
        <v>86</v>
      </c>
      <c r="P7" s="26" t="s">
        <v>86</v>
      </c>
      <c r="Q7" s="26">
        <v>40</v>
      </c>
      <c r="R7" s="26" t="s">
        <v>76</v>
      </c>
      <c r="S7" s="26" t="s">
        <v>76</v>
      </c>
      <c r="T7" s="26" t="s">
        <v>76</v>
      </c>
      <c r="U7" s="26" t="s">
        <v>65</v>
      </c>
      <c r="V7" s="26" t="s">
        <v>65</v>
      </c>
      <c r="W7" s="26" t="s">
        <v>65</v>
      </c>
      <c r="X7" s="26" t="s">
        <v>65</v>
      </c>
      <c r="Y7" s="26" t="s">
        <v>65</v>
      </c>
      <c r="Z7" s="26" t="s">
        <v>65</v>
      </c>
      <c r="AA7" s="26" t="s">
        <v>65</v>
      </c>
      <c r="AB7" s="29" t="s">
        <v>261</v>
      </c>
      <c r="AC7" s="29" t="s">
        <v>77</v>
      </c>
      <c r="AD7" s="29" t="s">
        <v>77</v>
      </c>
      <c r="AE7" s="29" t="s">
        <v>77</v>
      </c>
      <c r="AF7" s="29" t="s">
        <v>77</v>
      </c>
      <c r="AG7" s="29" t="s">
        <v>77</v>
      </c>
      <c r="AH7" s="29" t="s">
        <v>77</v>
      </c>
      <c r="AI7" s="29" t="s">
        <v>77</v>
      </c>
      <c r="AJ7" s="29" t="s">
        <v>77</v>
      </c>
      <c r="AK7" s="29" t="s">
        <v>77</v>
      </c>
      <c r="AL7" s="29" t="s">
        <v>77</v>
      </c>
      <c r="AM7" s="29" t="s">
        <v>77</v>
      </c>
      <c r="AN7" s="29" t="s">
        <v>77</v>
      </c>
      <c r="AO7" s="26" t="s">
        <v>87</v>
      </c>
      <c r="AP7" s="26" t="s">
        <v>88</v>
      </c>
      <c r="AQ7" s="26" t="s">
        <v>88</v>
      </c>
      <c r="AR7" s="26" t="s">
        <v>88</v>
      </c>
      <c r="AS7" s="26" t="s">
        <v>88</v>
      </c>
      <c r="AT7" s="26" t="s">
        <v>88</v>
      </c>
      <c r="AU7" s="26" t="s">
        <v>88</v>
      </c>
      <c r="AV7" s="26" t="s">
        <v>88</v>
      </c>
      <c r="AW7" s="26" t="s">
        <v>88</v>
      </c>
      <c r="AX7" s="26" t="s">
        <v>88</v>
      </c>
      <c r="AY7" s="26" t="s">
        <v>88</v>
      </c>
      <c r="AZ7" s="26" t="s">
        <v>264</v>
      </c>
      <c r="BA7" s="26" t="s">
        <v>89</v>
      </c>
      <c r="BB7" s="26" t="s">
        <v>89</v>
      </c>
      <c r="BC7" s="26" t="s">
        <v>89</v>
      </c>
      <c r="BD7" s="26" t="s">
        <v>89</v>
      </c>
      <c r="BE7" s="26" t="s">
        <v>89</v>
      </c>
      <c r="BF7" s="26" t="s">
        <v>89</v>
      </c>
      <c r="BG7" s="26" t="s">
        <v>89</v>
      </c>
      <c r="BH7" s="26" t="s">
        <v>89</v>
      </c>
      <c r="BI7" s="26" t="s">
        <v>89</v>
      </c>
      <c r="BJ7" s="26" t="s">
        <v>89</v>
      </c>
      <c r="BK7" s="26">
        <v>200</v>
      </c>
      <c r="BL7" s="26">
        <v>200</v>
      </c>
      <c r="BM7" s="26">
        <v>200</v>
      </c>
      <c r="BN7" s="26">
        <v>300</v>
      </c>
      <c r="BO7" s="26">
        <v>300</v>
      </c>
      <c r="BP7" s="26">
        <v>300</v>
      </c>
      <c r="BQ7" s="26" t="s">
        <v>71</v>
      </c>
      <c r="BR7" s="26" t="s">
        <v>71</v>
      </c>
      <c r="BS7" s="26" t="s">
        <v>71</v>
      </c>
      <c r="BT7" s="26" t="s">
        <v>81</v>
      </c>
      <c r="BU7" s="26" t="s">
        <v>81</v>
      </c>
      <c r="BV7" s="26" t="s">
        <v>81</v>
      </c>
      <c r="BW7" s="26" t="s">
        <v>81</v>
      </c>
      <c r="BX7" s="26" t="s">
        <v>81</v>
      </c>
      <c r="BY7" s="26" t="s">
        <v>81</v>
      </c>
      <c r="BZ7" s="26" t="s">
        <v>81</v>
      </c>
      <c r="CA7" s="31" t="s">
        <v>245</v>
      </c>
      <c r="CB7" s="31" t="s">
        <v>82</v>
      </c>
      <c r="CC7" s="31" t="s">
        <v>82</v>
      </c>
      <c r="CD7" s="26">
        <v>125</v>
      </c>
      <c r="CE7" s="26">
        <v>125</v>
      </c>
      <c r="CF7" s="26">
        <v>125</v>
      </c>
      <c r="CG7" s="357">
        <v>146</v>
      </c>
      <c r="CH7" s="357">
        <v>162</v>
      </c>
      <c r="CI7" s="357">
        <v>162</v>
      </c>
      <c r="CJ7" s="357">
        <v>162</v>
      </c>
      <c r="CK7" s="38" t="s">
        <v>244</v>
      </c>
      <c r="CL7" s="38" t="s">
        <v>83</v>
      </c>
      <c r="CM7" s="26" t="s">
        <v>84</v>
      </c>
      <c r="CN7" s="26" t="s">
        <v>85</v>
      </c>
      <c r="CO7" s="26" t="s">
        <v>85</v>
      </c>
      <c r="CP7" s="26" t="s">
        <v>85</v>
      </c>
      <c r="CQ7" s="26" t="s">
        <v>85</v>
      </c>
      <c r="CR7" s="26" t="s">
        <v>85</v>
      </c>
      <c r="CS7" s="26" t="s">
        <v>85</v>
      </c>
      <c r="CT7" s="26">
        <v>0.63200000000000001</v>
      </c>
      <c r="CU7" s="26">
        <v>0.85</v>
      </c>
      <c r="CV7" s="26">
        <v>0.85</v>
      </c>
      <c r="CW7" s="26">
        <v>0.85</v>
      </c>
      <c r="CX7" s="26">
        <v>0.85</v>
      </c>
      <c r="CY7" s="26">
        <v>0.85</v>
      </c>
      <c r="CZ7" s="26">
        <v>0.85</v>
      </c>
      <c r="DA7" s="26" t="s">
        <v>81</v>
      </c>
      <c r="DB7" s="26"/>
      <c r="DC7" s="26"/>
      <c r="DD7" s="26"/>
      <c r="DE7" s="26"/>
      <c r="DF7" s="26" t="s">
        <v>81</v>
      </c>
      <c r="DG7" s="26"/>
      <c r="DH7" s="26"/>
      <c r="DI7" s="26"/>
      <c r="DJ7" s="26" t="s">
        <v>81</v>
      </c>
      <c r="DK7" s="26"/>
      <c r="DL7" s="26"/>
      <c r="DM7" s="26"/>
      <c r="DN7" s="26" t="s">
        <v>81</v>
      </c>
      <c r="DO7" s="26"/>
      <c r="DP7" s="26"/>
      <c r="DQ7" s="26"/>
      <c r="DR7" s="26"/>
      <c r="DS7" s="27"/>
      <c r="DT7" s="14">
        <v>2</v>
      </c>
    </row>
    <row r="8" spans="2:124" customFormat="1" ht="15" customHeight="1">
      <c r="B8" s="28">
        <v>4773</v>
      </c>
      <c r="C8" s="29" t="s">
        <v>73</v>
      </c>
      <c r="D8" s="29" t="s">
        <v>73</v>
      </c>
      <c r="E8" s="29" t="s">
        <v>73</v>
      </c>
      <c r="F8" s="29" t="s">
        <v>73</v>
      </c>
      <c r="G8" s="29" t="s">
        <v>73</v>
      </c>
      <c r="H8" s="26" t="s">
        <v>74</v>
      </c>
      <c r="I8" s="26" t="s">
        <v>74</v>
      </c>
      <c r="J8" s="26" t="s">
        <v>74</v>
      </c>
      <c r="K8" s="26" t="s">
        <v>74</v>
      </c>
      <c r="L8" s="26" t="s">
        <v>74</v>
      </c>
      <c r="M8" s="26" t="s">
        <v>86</v>
      </c>
      <c r="N8" s="26" t="s">
        <v>86</v>
      </c>
      <c r="O8" s="26" t="s">
        <v>86</v>
      </c>
      <c r="P8" s="26" t="s">
        <v>86</v>
      </c>
      <c r="Q8" s="26">
        <v>40</v>
      </c>
      <c r="R8" s="26" t="s">
        <v>76</v>
      </c>
      <c r="S8" s="26" t="s">
        <v>76</v>
      </c>
      <c r="T8" s="26" t="s">
        <v>76</v>
      </c>
      <c r="U8" s="26" t="s">
        <v>65</v>
      </c>
      <c r="V8" s="26" t="s">
        <v>65</v>
      </c>
      <c r="W8" s="26" t="s">
        <v>65</v>
      </c>
      <c r="X8" s="26" t="s">
        <v>65</v>
      </c>
      <c r="Y8" s="26" t="s">
        <v>65</v>
      </c>
      <c r="Z8" s="26" t="s">
        <v>65</v>
      </c>
      <c r="AA8" s="26" t="s">
        <v>65</v>
      </c>
      <c r="AB8" s="29" t="s">
        <v>261</v>
      </c>
      <c r="AC8" s="29" t="s">
        <v>77</v>
      </c>
      <c r="AD8" s="29" t="s">
        <v>77</v>
      </c>
      <c r="AE8" s="29" t="s">
        <v>77</v>
      </c>
      <c r="AF8" s="29" t="s">
        <v>77</v>
      </c>
      <c r="AG8" s="29" t="s">
        <v>77</v>
      </c>
      <c r="AH8" s="29" t="s">
        <v>77</v>
      </c>
      <c r="AI8" s="29" t="s">
        <v>77</v>
      </c>
      <c r="AJ8" s="29" t="s">
        <v>77</v>
      </c>
      <c r="AK8" s="29" t="s">
        <v>77</v>
      </c>
      <c r="AL8" s="29" t="s">
        <v>77</v>
      </c>
      <c r="AM8" s="29" t="s">
        <v>77</v>
      </c>
      <c r="AN8" s="29" t="s">
        <v>77</v>
      </c>
      <c r="AO8" s="26" t="s">
        <v>264</v>
      </c>
      <c r="AP8" s="26" t="s">
        <v>89</v>
      </c>
      <c r="AQ8" s="26" t="s">
        <v>89</v>
      </c>
      <c r="AR8" s="26" t="s">
        <v>89</v>
      </c>
      <c r="AS8" s="26" t="s">
        <v>89</v>
      </c>
      <c r="AT8" s="26" t="s">
        <v>89</v>
      </c>
      <c r="AU8" s="26" t="s">
        <v>89</v>
      </c>
      <c r="AV8" s="26" t="s">
        <v>89</v>
      </c>
      <c r="AW8" s="26" t="s">
        <v>89</v>
      </c>
      <c r="AX8" s="26" t="s">
        <v>89</v>
      </c>
      <c r="AY8" s="26" t="s">
        <v>89</v>
      </c>
      <c r="AZ8" s="26" t="s">
        <v>265</v>
      </c>
      <c r="BA8" s="26" t="s">
        <v>91</v>
      </c>
      <c r="BB8" s="26" t="s">
        <v>91</v>
      </c>
      <c r="BC8" s="26" t="s">
        <v>91</v>
      </c>
      <c r="BD8" s="26" t="s">
        <v>91</v>
      </c>
      <c r="BE8" s="26" t="s">
        <v>91</v>
      </c>
      <c r="BF8" s="26" t="s">
        <v>91</v>
      </c>
      <c r="BG8" s="26" t="s">
        <v>91</v>
      </c>
      <c r="BH8" s="26" t="s">
        <v>91</v>
      </c>
      <c r="BI8" s="26" t="s">
        <v>91</v>
      </c>
      <c r="BJ8" s="26" t="s">
        <v>91</v>
      </c>
      <c r="BK8" s="26">
        <v>200</v>
      </c>
      <c r="BL8" s="26">
        <v>200</v>
      </c>
      <c r="BM8" s="26">
        <v>200</v>
      </c>
      <c r="BN8" s="26">
        <v>300</v>
      </c>
      <c r="BO8" s="26">
        <v>300</v>
      </c>
      <c r="BP8" s="26">
        <v>300</v>
      </c>
      <c r="BQ8" s="26" t="s">
        <v>71</v>
      </c>
      <c r="BR8" s="26" t="s">
        <v>71</v>
      </c>
      <c r="BS8" s="26" t="s">
        <v>71</v>
      </c>
      <c r="BT8" s="26" t="s">
        <v>81</v>
      </c>
      <c r="BU8" s="26" t="s">
        <v>81</v>
      </c>
      <c r="BV8" s="26" t="s">
        <v>81</v>
      </c>
      <c r="BW8" s="26" t="s">
        <v>81</v>
      </c>
      <c r="BX8" s="26" t="s">
        <v>81</v>
      </c>
      <c r="BY8" s="26" t="s">
        <v>81</v>
      </c>
      <c r="BZ8" s="26" t="s">
        <v>81</v>
      </c>
      <c r="CA8" s="38" t="s">
        <v>245</v>
      </c>
      <c r="CB8" s="38" t="s">
        <v>82</v>
      </c>
      <c r="CC8" s="38" t="s">
        <v>82</v>
      </c>
      <c r="CD8" s="26">
        <v>125</v>
      </c>
      <c r="CE8" s="26">
        <v>125</v>
      </c>
      <c r="CF8" s="26">
        <v>125</v>
      </c>
      <c r="CG8" s="357">
        <v>146</v>
      </c>
      <c r="CH8" s="357">
        <v>162</v>
      </c>
      <c r="CI8" s="357">
        <v>162</v>
      </c>
      <c r="CJ8" s="357">
        <v>162</v>
      </c>
      <c r="CK8" s="38" t="s">
        <v>244</v>
      </c>
      <c r="CL8" s="38" t="s">
        <v>83</v>
      </c>
      <c r="CM8" s="29" t="s">
        <v>84</v>
      </c>
      <c r="CN8" s="29" t="s">
        <v>85</v>
      </c>
      <c r="CO8" s="29" t="s">
        <v>85</v>
      </c>
      <c r="CP8" s="29" t="s">
        <v>85</v>
      </c>
      <c r="CQ8" s="29" t="s">
        <v>85</v>
      </c>
      <c r="CR8" s="29" t="s">
        <v>85</v>
      </c>
      <c r="CS8" s="29" t="s">
        <v>85</v>
      </c>
      <c r="CT8" s="26">
        <v>0.63200000000000001</v>
      </c>
      <c r="CU8" s="26">
        <v>0.85</v>
      </c>
      <c r="CV8" s="26">
        <v>0.85</v>
      </c>
      <c r="CW8" s="26">
        <v>0.85</v>
      </c>
      <c r="CX8" s="26">
        <v>0.85</v>
      </c>
      <c r="CY8" s="26">
        <v>0.85</v>
      </c>
      <c r="CZ8" s="26">
        <v>0.85</v>
      </c>
      <c r="DA8" s="26" t="s">
        <v>81</v>
      </c>
      <c r="DB8" s="26"/>
      <c r="DC8" s="26"/>
      <c r="DD8" s="26"/>
      <c r="DE8" s="26"/>
      <c r="DF8" s="26" t="s">
        <v>81</v>
      </c>
      <c r="DG8" s="26"/>
      <c r="DH8" s="26"/>
      <c r="DI8" s="26"/>
      <c r="DJ8" s="26" t="s">
        <v>81</v>
      </c>
      <c r="DK8" s="26"/>
      <c r="DL8" s="26"/>
      <c r="DM8" s="26"/>
      <c r="DN8" s="26" t="s">
        <v>81</v>
      </c>
      <c r="DO8" s="26"/>
      <c r="DP8" s="26"/>
      <c r="DQ8" s="26"/>
      <c r="DR8" s="26"/>
      <c r="DS8" s="27"/>
      <c r="DT8" s="14">
        <v>3</v>
      </c>
    </row>
    <row r="9" spans="2:124" customFormat="1" ht="15" customHeight="1">
      <c r="B9" s="28">
        <v>4774</v>
      </c>
      <c r="C9" s="29" t="s">
        <v>73</v>
      </c>
      <c r="D9" s="29" t="s">
        <v>73</v>
      </c>
      <c r="E9" s="29" t="s">
        <v>73</v>
      </c>
      <c r="F9" s="29" t="s">
        <v>73</v>
      </c>
      <c r="G9" s="29" t="s">
        <v>73</v>
      </c>
      <c r="H9" s="26" t="s">
        <v>93</v>
      </c>
      <c r="I9" s="26" t="s">
        <v>93</v>
      </c>
      <c r="J9" s="26" t="s">
        <v>93</v>
      </c>
      <c r="K9" s="26" t="s">
        <v>93</v>
      </c>
      <c r="L9" s="26" t="s">
        <v>93</v>
      </c>
      <c r="M9" s="26" t="s">
        <v>94</v>
      </c>
      <c r="N9" s="26" t="s">
        <v>94</v>
      </c>
      <c r="O9" s="26" t="s">
        <v>94</v>
      </c>
      <c r="P9" s="26" t="s">
        <v>94</v>
      </c>
      <c r="Q9" s="26" t="s">
        <v>95</v>
      </c>
      <c r="R9" s="26" t="s">
        <v>95</v>
      </c>
      <c r="S9" s="26" t="s">
        <v>95</v>
      </c>
      <c r="T9" s="26" t="s">
        <v>95</v>
      </c>
      <c r="U9" s="26" t="s">
        <v>65</v>
      </c>
      <c r="V9" s="26" t="s">
        <v>65</v>
      </c>
      <c r="W9" s="26" t="s">
        <v>65</v>
      </c>
      <c r="X9" s="26" t="s">
        <v>65</v>
      </c>
      <c r="Y9" s="26" t="s">
        <v>65</v>
      </c>
      <c r="Z9" s="26" t="s">
        <v>65</v>
      </c>
      <c r="AA9" s="26" t="s">
        <v>65</v>
      </c>
      <c r="AB9" s="29" t="s">
        <v>261</v>
      </c>
      <c r="AC9" s="29" t="s">
        <v>77</v>
      </c>
      <c r="AD9" s="29" t="s">
        <v>77</v>
      </c>
      <c r="AE9" s="29" t="s">
        <v>77</v>
      </c>
      <c r="AF9" s="29" t="s">
        <v>77</v>
      </c>
      <c r="AG9" s="29" t="s">
        <v>77</v>
      </c>
      <c r="AH9" s="29" t="s">
        <v>77</v>
      </c>
      <c r="AI9" s="29" t="s">
        <v>77</v>
      </c>
      <c r="AJ9" s="29" t="s">
        <v>77</v>
      </c>
      <c r="AK9" s="29" t="s">
        <v>77</v>
      </c>
      <c r="AL9" s="29" t="s">
        <v>77</v>
      </c>
      <c r="AM9" s="29" t="s">
        <v>77</v>
      </c>
      <c r="AN9" s="29" t="s">
        <v>77</v>
      </c>
      <c r="AO9" s="26" t="s">
        <v>266</v>
      </c>
      <c r="AP9" s="26" t="s">
        <v>90</v>
      </c>
      <c r="AQ9" s="26" t="s">
        <v>90</v>
      </c>
      <c r="AR9" s="26" t="s">
        <v>90</v>
      </c>
      <c r="AS9" s="26" t="s">
        <v>90</v>
      </c>
      <c r="AT9" s="26" t="s">
        <v>90</v>
      </c>
      <c r="AU9" s="26" t="s">
        <v>90</v>
      </c>
      <c r="AV9" s="26" t="s">
        <v>90</v>
      </c>
      <c r="AW9" s="26" t="s">
        <v>90</v>
      </c>
      <c r="AX9" s="26" t="s">
        <v>90</v>
      </c>
      <c r="AY9" s="26" t="s">
        <v>90</v>
      </c>
      <c r="AZ9" s="26" t="s">
        <v>267</v>
      </c>
      <c r="BA9" s="26" t="s">
        <v>96</v>
      </c>
      <c r="BB9" s="26" t="s">
        <v>96</v>
      </c>
      <c r="BC9" s="26" t="s">
        <v>96</v>
      </c>
      <c r="BD9" s="26" t="s">
        <v>96</v>
      </c>
      <c r="BE9" s="26" t="s">
        <v>96</v>
      </c>
      <c r="BF9" s="26" t="s">
        <v>96</v>
      </c>
      <c r="BG9" s="26" t="s">
        <v>96</v>
      </c>
      <c r="BH9" s="26" t="s">
        <v>96</v>
      </c>
      <c r="BI9" s="26" t="s">
        <v>96</v>
      </c>
      <c r="BJ9" s="26" t="s">
        <v>96</v>
      </c>
      <c r="BK9" s="26">
        <v>200</v>
      </c>
      <c r="BL9" s="26">
        <v>200</v>
      </c>
      <c r="BM9" s="26">
        <v>200</v>
      </c>
      <c r="BN9" s="26">
        <v>300</v>
      </c>
      <c r="BO9" s="26">
        <v>300</v>
      </c>
      <c r="BP9" s="26">
        <v>300</v>
      </c>
      <c r="BQ9" s="26" t="s">
        <v>97</v>
      </c>
      <c r="BR9" s="26" t="s">
        <v>97</v>
      </c>
      <c r="BS9" s="26" t="s">
        <v>97</v>
      </c>
      <c r="BT9" s="26" t="s">
        <v>81</v>
      </c>
      <c r="BU9" s="26">
        <v>10</v>
      </c>
      <c r="BV9" s="26">
        <v>10</v>
      </c>
      <c r="BW9" s="26" t="s">
        <v>81</v>
      </c>
      <c r="BX9" s="26" t="s">
        <v>81</v>
      </c>
      <c r="BY9" s="26" t="s">
        <v>81</v>
      </c>
      <c r="BZ9" s="26" t="s">
        <v>81</v>
      </c>
      <c r="CA9" s="26">
        <v>10</v>
      </c>
      <c r="CB9" s="26">
        <v>0.66046704861345396</v>
      </c>
      <c r="CC9" s="26">
        <v>0.66046704861345396</v>
      </c>
      <c r="CD9" s="23">
        <v>125</v>
      </c>
      <c r="CE9" s="24">
        <v>125</v>
      </c>
      <c r="CF9" s="25">
        <v>125</v>
      </c>
      <c r="CG9" s="358">
        <v>146</v>
      </c>
      <c r="CH9" s="359">
        <v>162</v>
      </c>
      <c r="CI9" s="359">
        <v>162</v>
      </c>
      <c r="CJ9" s="360">
        <v>162</v>
      </c>
      <c r="CK9" s="361" t="s">
        <v>81</v>
      </c>
      <c r="CL9" s="362">
        <v>1E-3</v>
      </c>
      <c r="CM9" s="26" t="s">
        <v>84</v>
      </c>
      <c r="CN9" s="26" t="s">
        <v>85</v>
      </c>
      <c r="CO9" s="26" t="s">
        <v>85</v>
      </c>
      <c r="CP9" s="26" t="s">
        <v>85</v>
      </c>
      <c r="CQ9" s="26" t="s">
        <v>85</v>
      </c>
      <c r="CR9" s="26" t="s">
        <v>85</v>
      </c>
      <c r="CS9" s="26" t="s">
        <v>85</v>
      </c>
      <c r="CT9" s="26">
        <v>61.67</v>
      </c>
      <c r="CU9" s="26">
        <v>0.85</v>
      </c>
      <c r="CV9" s="26">
        <v>0.85</v>
      </c>
      <c r="CW9" s="26">
        <v>0.85</v>
      </c>
      <c r="CX9" s="26">
        <v>0.85</v>
      </c>
      <c r="CY9" s="26">
        <v>0.85</v>
      </c>
      <c r="CZ9" s="26">
        <v>0.85</v>
      </c>
      <c r="DA9" s="26" t="s">
        <v>81</v>
      </c>
      <c r="DB9" s="26"/>
      <c r="DC9" s="26"/>
      <c r="DD9" s="26"/>
      <c r="DE9" s="26"/>
      <c r="DF9" s="26" t="s">
        <v>81</v>
      </c>
      <c r="DG9" s="26"/>
      <c r="DH9" s="26"/>
      <c r="DI9" s="26"/>
      <c r="DJ9" s="26" t="s">
        <v>81</v>
      </c>
      <c r="DK9" s="26"/>
      <c r="DL9" s="26"/>
      <c r="DM9" s="26"/>
      <c r="DN9" s="26" t="s">
        <v>81</v>
      </c>
      <c r="DO9" s="26"/>
      <c r="DP9" s="26"/>
      <c r="DQ9" s="26"/>
      <c r="DR9" s="26"/>
      <c r="DS9" s="27"/>
      <c r="DT9" s="14">
        <v>4</v>
      </c>
    </row>
    <row r="10" spans="2:124" customFormat="1" ht="15" customHeight="1">
      <c r="B10" s="28">
        <v>4775</v>
      </c>
      <c r="C10" s="29" t="s">
        <v>73</v>
      </c>
      <c r="D10" s="29" t="s">
        <v>73</v>
      </c>
      <c r="E10" s="29" t="s">
        <v>73</v>
      </c>
      <c r="F10" s="29" t="s">
        <v>73</v>
      </c>
      <c r="G10" s="29" t="s">
        <v>73</v>
      </c>
      <c r="H10" s="26" t="s">
        <v>93</v>
      </c>
      <c r="I10" s="26" t="s">
        <v>93</v>
      </c>
      <c r="J10" s="26" t="s">
        <v>93</v>
      </c>
      <c r="K10" s="26" t="s">
        <v>93</v>
      </c>
      <c r="L10" s="26" t="s">
        <v>93</v>
      </c>
      <c r="M10" s="26" t="s">
        <v>94</v>
      </c>
      <c r="N10" s="26" t="s">
        <v>94</v>
      </c>
      <c r="O10" s="26" t="s">
        <v>94</v>
      </c>
      <c r="P10" s="26" t="s">
        <v>94</v>
      </c>
      <c r="Q10" s="26" t="s">
        <v>95</v>
      </c>
      <c r="R10" s="26" t="s">
        <v>98</v>
      </c>
      <c r="S10" s="26" t="s">
        <v>98</v>
      </c>
      <c r="T10" s="26" t="s">
        <v>98</v>
      </c>
      <c r="U10" s="26" t="s">
        <v>65</v>
      </c>
      <c r="V10" s="26" t="s">
        <v>65</v>
      </c>
      <c r="W10" s="26" t="s">
        <v>65</v>
      </c>
      <c r="X10" s="26" t="s">
        <v>65</v>
      </c>
      <c r="Y10" s="26" t="s">
        <v>65</v>
      </c>
      <c r="Z10" s="26" t="s">
        <v>65</v>
      </c>
      <c r="AA10" s="26" t="s">
        <v>65</v>
      </c>
      <c r="AB10" s="29" t="s">
        <v>261</v>
      </c>
      <c r="AC10" s="29" t="s">
        <v>77</v>
      </c>
      <c r="AD10" s="29" t="s">
        <v>77</v>
      </c>
      <c r="AE10" s="29" t="s">
        <v>77</v>
      </c>
      <c r="AF10" s="29" t="s">
        <v>77</v>
      </c>
      <c r="AG10" s="29" t="s">
        <v>77</v>
      </c>
      <c r="AH10" s="29" t="s">
        <v>77</v>
      </c>
      <c r="AI10" s="29" t="s">
        <v>77</v>
      </c>
      <c r="AJ10" s="29" t="s">
        <v>77</v>
      </c>
      <c r="AK10" s="29" t="s">
        <v>77</v>
      </c>
      <c r="AL10" s="29" t="s">
        <v>77</v>
      </c>
      <c r="AM10" s="29" t="s">
        <v>77</v>
      </c>
      <c r="AN10" s="29" t="s">
        <v>77</v>
      </c>
      <c r="AO10" s="26" t="s">
        <v>267</v>
      </c>
      <c r="AP10" s="26" t="s">
        <v>96</v>
      </c>
      <c r="AQ10" s="26" t="s">
        <v>96</v>
      </c>
      <c r="AR10" s="26" t="s">
        <v>96</v>
      </c>
      <c r="AS10" s="26" t="s">
        <v>96</v>
      </c>
      <c r="AT10" s="26" t="s">
        <v>96</v>
      </c>
      <c r="AU10" s="26" t="s">
        <v>96</v>
      </c>
      <c r="AV10" s="26" t="s">
        <v>96</v>
      </c>
      <c r="AW10" s="26" t="s">
        <v>96</v>
      </c>
      <c r="AX10" s="26" t="s">
        <v>96</v>
      </c>
      <c r="AY10" s="26" t="s">
        <v>96</v>
      </c>
      <c r="AZ10" s="26" t="s">
        <v>99</v>
      </c>
      <c r="BA10" s="26" t="s">
        <v>100</v>
      </c>
      <c r="BB10" s="26" t="s">
        <v>100</v>
      </c>
      <c r="BC10" s="26" t="s">
        <v>100</v>
      </c>
      <c r="BD10" s="26" t="s">
        <v>100</v>
      </c>
      <c r="BE10" s="26" t="s">
        <v>100</v>
      </c>
      <c r="BF10" s="26" t="s">
        <v>100</v>
      </c>
      <c r="BG10" s="26" t="s">
        <v>100</v>
      </c>
      <c r="BH10" s="26" t="s">
        <v>100</v>
      </c>
      <c r="BI10" s="26" t="s">
        <v>100</v>
      </c>
      <c r="BJ10" s="26" t="s">
        <v>100</v>
      </c>
      <c r="BK10" s="26">
        <v>200</v>
      </c>
      <c r="BL10" s="26">
        <v>200</v>
      </c>
      <c r="BM10" s="26">
        <v>200</v>
      </c>
      <c r="BN10" s="26">
        <v>300</v>
      </c>
      <c r="BO10" s="26">
        <v>300</v>
      </c>
      <c r="BP10" s="26">
        <v>300</v>
      </c>
      <c r="BQ10" s="26" t="s">
        <v>97</v>
      </c>
      <c r="BR10" s="26" t="s">
        <v>97</v>
      </c>
      <c r="BS10" s="26" t="s">
        <v>97</v>
      </c>
      <c r="BT10" s="26" t="s">
        <v>81</v>
      </c>
      <c r="BU10" s="26">
        <v>10</v>
      </c>
      <c r="BV10" s="26">
        <v>10</v>
      </c>
      <c r="BW10" s="26" t="s">
        <v>81</v>
      </c>
      <c r="BX10" s="26" t="s">
        <v>81</v>
      </c>
      <c r="BY10" s="26" t="s">
        <v>81</v>
      </c>
      <c r="BZ10" s="26" t="s">
        <v>81</v>
      </c>
      <c r="CA10" s="26">
        <v>10</v>
      </c>
      <c r="CB10" s="26">
        <v>0.66046704861345396</v>
      </c>
      <c r="CC10" s="26">
        <v>0.66046704861345396</v>
      </c>
      <c r="CD10" s="23">
        <v>125</v>
      </c>
      <c r="CE10" s="24">
        <v>125</v>
      </c>
      <c r="CF10" s="25">
        <v>125</v>
      </c>
      <c r="CG10" s="358">
        <v>146</v>
      </c>
      <c r="CH10" s="359">
        <v>162</v>
      </c>
      <c r="CI10" s="359">
        <v>162</v>
      </c>
      <c r="CJ10" s="360">
        <v>162</v>
      </c>
      <c r="CK10" s="361" t="s">
        <v>81</v>
      </c>
      <c r="CL10" s="362">
        <v>1E-3</v>
      </c>
      <c r="CM10" s="26" t="s">
        <v>84</v>
      </c>
      <c r="CN10" s="26" t="s">
        <v>85</v>
      </c>
      <c r="CO10" s="26" t="s">
        <v>85</v>
      </c>
      <c r="CP10" s="26" t="s">
        <v>85</v>
      </c>
      <c r="CQ10" s="26" t="s">
        <v>85</v>
      </c>
      <c r="CR10" s="26" t="s">
        <v>85</v>
      </c>
      <c r="CS10" s="26" t="s">
        <v>85</v>
      </c>
      <c r="CT10" s="29">
        <v>61.67</v>
      </c>
      <c r="CU10" s="29">
        <v>0.85</v>
      </c>
      <c r="CV10" s="29">
        <v>0.85</v>
      </c>
      <c r="CW10" s="29">
        <v>0.85</v>
      </c>
      <c r="CX10" s="29">
        <v>0.85</v>
      </c>
      <c r="CY10" s="29">
        <v>0.85</v>
      </c>
      <c r="CZ10" s="29">
        <v>0.85</v>
      </c>
      <c r="DA10" s="26" t="s">
        <v>81</v>
      </c>
      <c r="DB10" s="26"/>
      <c r="DC10" s="26"/>
      <c r="DD10" s="26"/>
      <c r="DE10" s="26"/>
      <c r="DF10" s="26" t="s">
        <v>81</v>
      </c>
      <c r="DG10" s="26"/>
      <c r="DH10" s="26"/>
      <c r="DI10" s="26"/>
      <c r="DJ10" s="26" t="s">
        <v>81</v>
      </c>
      <c r="DK10" s="26"/>
      <c r="DL10" s="26"/>
      <c r="DM10" s="26"/>
      <c r="DN10" s="26" t="s">
        <v>81</v>
      </c>
      <c r="DO10" s="26"/>
      <c r="DP10" s="26"/>
      <c r="DQ10" s="26"/>
      <c r="DR10" s="26"/>
      <c r="DS10" s="27"/>
      <c r="DT10" s="14">
        <v>5</v>
      </c>
    </row>
    <row r="11" spans="2:124" customFormat="1" ht="15" customHeight="1">
      <c r="B11" s="28">
        <v>4776</v>
      </c>
      <c r="C11" s="29" t="s">
        <v>73</v>
      </c>
      <c r="D11" s="29" t="s">
        <v>73</v>
      </c>
      <c r="E11" s="29" t="s">
        <v>73</v>
      </c>
      <c r="F11" s="29" t="s">
        <v>73</v>
      </c>
      <c r="G11" s="29" t="s">
        <v>73</v>
      </c>
      <c r="H11" s="26" t="s">
        <v>101</v>
      </c>
      <c r="I11" s="26" t="s">
        <v>102</v>
      </c>
      <c r="J11" s="26" t="s">
        <v>102</v>
      </c>
      <c r="K11" s="26" t="s">
        <v>102</v>
      </c>
      <c r="L11" s="26" t="s">
        <v>102</v>
      </c>
      <c r="M11" s="26" t="s">
        <v>86</v>
      </c>
      <c r="N11" s="26" t="s">
        <v>86</v>
      </c>
      <c r="O11" s="26" t="s">
        <v>86</v>
      </c>
      <c r="P11" s="26" t="s">
        <v>86</v>
      </c>
      <c r="Q11" s="26">
        <v>40</v>
      </c>
      <c r="R11" s="26" t="s">
        <v>76</v>
      </c>
      <c r="S11" s="26" t="s">
        <v>76</v>
      </c>
      <c r="T11" s="26" t="s">
        <v>76</v>
      </c>
      <c r="U11" s="26" t="s">
        <v>65</v>
      </c>
      <c r="V11" s="26" t="s">
        <v>65</v>
      </c>
      <c r="W11" s="26" t="s">
        <v>65</v>
      </c>
      <c r="X11" s="26" t="s">
        <v>65</v>
      </c>
      <c r="Y11" s="26" t="s">
        <v>65</v>
      </c>
      <c r="Z11" s="26" t="s">
        <v>65</v>
      </c>
      <c r="AA11" s="26" t="s">
        <v>65</v>
      </c>
      <c r="AB11" s="29" t="s">
        <v>261</v>
      </c>
      <c r="AC11" s="29" t="s">
        <v>77</v>
      </c>
      <c r="AD11" s="29" t="s">
        <v>77</v>
      </c>
      <c r="AE11" s="29" t="s">
        <v>77</v>
      </c>
      <c r="AF11" s="29" t="s">
        <v>77</v>
      </c>
      <c r="AG11" s="29" t="s">
        <v>77</v>
      </c>
      <c r="AH11" s="29" t="s">
        <v>77</v>
      </c>
      <c r="AI11" s="29" t="s">
        <v>77</v>
      </c>
      <c r="AJ11" s="29" t="s">
        <v>77</v>
      </c>
      <c r="AK11" s="29" t="s">
        <v>77</v>
      </c>
      <c r="AL11" s="29" t="s">
        <v>77</v>
      </c>
      <c r="AM11" s="29" t="s">
        <v>77</v>
      </c>
      <c r="AN11" s="29" t="s">
        <v>77</v>
      </c>
      <c r="AO11" s="26" t="s">
        <v>266</v>
      </c>
      <c r="AP11" s="26" t="s">
        <v>90</v>
      </c>
      <c r="AQ11" s="26" t="s">
        <v>90</v>
      </c>
      <c r="AR11" s="26" t="s">
        <v>90</v>
      </c>
      <c r="AS11" s="26" t="s">
        <v>90</v>
      </c>
      <c r="AT11" s="26" t="s">
        <v>90</v>
      </c>
      <c r="AU11" s="26" t="s">
        <v>90</v>
      </c>
      <c r="AV11" s="26" t="s">
        <v>90</v>
      </c>
      <c r="AW11" s="26" t="s">
        <v>90</v>
      </c>
      <c r="AX11" s="26" t="s">
        <v>90</v>
      </c>
      <c r="AY11" s="26" t="s">
        <v>90</v>
      </c>
      <c r="AZ11" s="26" t="s">
        <v>268</v>
      </c>
      <c r="BA11" s="26" t="s">
        <v>103</v>
      </c>
      <c r="BB11" s="26" t="s">
        <v>103</v>
      </c>
      <c r="BC11" s="26" t="s">
        <v>103</v>
      </c>
      <c r="BD11" s="26" t="s">
        <v>103</v>
      </c>
      <c r="BE11" s="26" t="s">
        <v>103</v>
      </c>
      <c r="BF11" s="26" t="s">
        <v>103</v>
      </c>
      <c r="BG11" s="26" t="s">
        <v>103</v>
      </c>
      <c r="BH11" s="26" t="s">
        <v>103</v>
      </c>
      <c r="BI11" s="26" t="s">
        <v>103</v>
      </c>
      <c r="BJ11" s="26" t="s">
        <v>103</v>
      </c>
      <c r="BK11" s="26">
        <v>200</v>
      </c>
      <c r="BL11" s="26">
        <v>200</v>
      </c>
      <c r="BM11" s="26">
        <v>200</v>
      </c>
      <c r="BN11" s="26">
        <v>300</v>
      </c>
      <c r="BO11" s="26">
        <v>300</v>
      </c>
      <c r="BP11" s="26">
        <v>300</v>
      </c>
      <c r="BQ11" s="26" t="s">
        <v>71</v>
      </c>
      <c r="BR11" s="26" t="s">
        <v>71</v>
      </c>
      <c r="BS11" s="26" t="s">
        <v>71</v>
      </c>
      <c r="BT11" s="26" t="s">
        <v>81</v>
      </c>
      <c r="BU11" s="26" t="s">
        <v>81</v>
      </c>
      <c r="BV11" s="26" t="s">
        <v>81</v>
      </c>
      <c r="BW11" s="26" t="s">
        <v>68</v>
      </c>
      <c r="BX11" s="26" t="s">
        <v>68</v>
      </c>
      <c r="BY11" s="26" t="s">
        <v>68</v>
      </c>
      <c r="BZ11" s="26" t="s">
        <v>68</v>
      </c>
      <c r="CA11" s="26" t="s">
        <v>68</v>
      </c>
      <c r="CB11" s="26" t="s">
        <v>68</v>
      </c>
      <c r="CC11" s="26" t="s">
        <v>68</v>
      </c>
      <c r="CD11" s="26">
        <v>124</v>
      </c>
      <c r="CE11" s="26">
        <v>124</v>
      </c>
      <c r="CF11" s="26">
        <v>124</v>
      </c>
      <c r="CG11" s="26">
        <v>142</v>
      </c>
      <c r="CH11" s="26">
        <v>142</v>
      </c>
      <c r="CI11" s="26">
        <v>142</v>
      </c>
      <c r="CJ11" s="26">
        <v>142</v>
      </c>
      <c r="CK11" s="26" t="s">
        <v>68</v>
      </c>
      <c r="CL11" s="26" t="s">
        <v>68</v>
      </c>
      <c r="CM11" s="26" t="s">
        <v>104</v>
      </c>
      <c r="CN11" s="26" t="s">
        <v>105</v>
      </c>
      <c r="CO11" s="26" t="s">
        <v>105</v>
      </c>
      <c r="CP11" s="26" t="s">
        <v>105</v>
      </c>
      <c r="CQ11" s="26" t="s">
        <v>105</v>
      </c>
      <c r="CR11" s="26" t="s">
        <v>105</v>
      </c>
      <c r="CS11" s="26" t="s">
        <v>105</v>
      </c>
      <c r="CT11" s="33">
        <v>1837</v>
      </c>
      <c r="CU11" s="33">
        <v>1837</v>
      </c>
      <c r="CV11" s="33">
        <v>1837</v>
      </c>
      <c r="CW11" s="33">
        <v>1837</v>
      </c>
      <c r="CX11" s="33">
        <v>1837</v>
      </c>
      <c r="CY11" s="33">
        <v>1837</v>
      </c>
      <c r="CZ11" s="33">
        <v>1837</v>
      </c>
      <c r="DA11" s="26" t="s">
        <v>81</v>
      </c>
      <c r="DB11" s="26"/>
      <c r="DC11" s="26"/>
      <c r="DD11" s="26"/>
      <c r="DE11" s="26"/>
      <c r="DF11" s="26" t="s">
        <v>81</v>
      </c>
      <c r="DG11" s="26"/>
      <c r="DH11" s="26"/>
      <c r="DI11" s="26"/>
      <c r="DJ11" s="26" t="s">
        <v>81</v>
      </c>
      <c r="DK11" s="26"/>
      <c r="DL11" s="26"/>
      <c r="DM11" s="26"/>
      <c r="DN11" s="26" t="s">
        <v>81</v>
      </c>
      <c r="DO11" s="26"/>
      <c r="DP11" s="26"/>
      <c r="DQ11" s="26"/>
      <c r="DR11" s="26"/>
      <c r="DS11" s="27"/>
      <c r="DT11" s="14">
        <v>6</v>
      </c>
    </row>
    <row r="12" spans="2:124" customFormat="1" ht="15" customHeight="1">
      <c r="B12" s="28">
        <v>4777</v>
      </c>
      <c r="C12" s="29" t="s">
        <v>73</v>
      </c>
      <c r="D12" s="29" t="s">
        <v>73</v>
      </c>
      <c r="E12" s="29" t="s">
        <v>73</v>
      </c>
      <c r="F12" s="29" t="s">
        <v>73</v>
      </c>
      <c r="G12" s="29" t="s">
        <v>73</v>
      </c>
      <c r="H12" s="26" t="s">
        <v>101</v>
      </c>
      <c r="I12" s="26" t="s">
        <v>102</v>
      </c>
      <c r="J12" s="26" t="s">
        <v>102</v>
      </c>
      <c r="K12" s="26" t="s">
        <v>102</v>
      </c>
      <c r="L12" s="26" t="s">
        <v>102</v>
      </c>
      <c r="M12" s="26" t="s">
        <v>86</v>
      </c>
      <c r="N12" s="26" t="s">
        <v>86</v>
      </c>
      <c r="O12" s="26" t="s">
        <v>86</v>
      </c>
      <c r="P12" s="26" t="s">
        <v>86</v>
      </c>
      <c r="Q12" s="26">
        <v>40</v>
      </c>
      <c r="R12" s="26" t="s">
        <v>76</v>
      </c>
      <c r="S12" s="26" t="s">
        <v>76</v>
      </c>
      <c r="T12" s="26" t="s">
        <v>76</v>
      </c>
      <c r="U12" s="26" t="s">
        <v>65</v>
      </c>
      <c r="V12" s="26" t="s">
        <v>65</v>
      </c>
      <c r="W12" s="26" t="s">
        <v>65</v>
      </c>
      <c r="X12" s="26" t="s">
        <v>65</v>
      </c>
      <c r="Y12" s="26" t="s">
        <v>65</v>
      </c>
      <c r="Z12" s="26" t="s">
        <v>65</v>
      </c>
      <c r="AA12" s="26" t="s">
        <v>65</v>
      </c>
      <c r="AB12" s="29" t="s">
        <v>261</v>
      </c>
      <c r="AC12" s="29" t="s">
        <v>77</v>
      </c>
      <c r="AD12" s="29" t="s">
        <v>77</v>
      </c>
      <c r="AE12" s="29" t="s">
        <v>77</v>
      </c>
      <c r="AF12" s="29" t="s">
        <v>77</v>
      </c>
      <c r="AG12" s="29" t="s">
        <v>77</v>
      </c>
      <c r="AH12" s="29" t="s">
        <v>77</v>
      </c>
      <c r="AI12" s="29" t="s">
        <v>77</v>
      </c>
      <c r="AJ12" s="29" t="s">
        <v>77</v>
      </c>
      <c r="AK12" s="29" t="s">
        <v>77</v>
      </c>
      <c r="AL12" s="29" t="s">
        <v>77</v>
      </c>
      <c r="AM12" s="29" t="s">
        <v>77</v>
      </c>
      <c r="AN12" s="29" t="s">
        <v>77</v>
      </c>
      <c r="AO12" s="26" t="s">
        <v>266</v>
      </c>
      <c r="AP12" s="26" t="s">
        <v>90</v>
      </c>
      <c r="AQ12" s="26" t="s">
        <v>90</v>
      </c>
      <c r="AR12" s="26" t="s">
        <v>90</v>
      </c>
      <c r="AS12" s="26" t="s">
        <v>90</v>
      </c>
      <c r="AT12" s="26" t="s">
        <v>90</v>
      </c>
      <c r="AU12" s="26" t="s">
        <v>90</v>
      </c>
      <c r="AV12" s="26" t="s">
        <v>90</v>
      </c>
      <c r="AW12" s="26" t="s">
        <v>90</v>
      </c>
      <c r="AX12" s="26" t="s">
        <v>90</v>
      </c>
      <c r="AY12" s="26" t="s">
        <v>90</v>
      </c>
      <c r="AZ12" s="26" t="s">
        <v>269</v>
      </c>
      <c r="BA12" s="26" t="s">
        <v>103</v>
      </c>
      <c r="BB12" s="26" t="s">
        <v>103</v>
      </c>
      <c r="BC12" s="26" t="s">
        <v>103</v>
      </c>
      <c r="BD12" s="26" t="s">
        <v>103</v>
      </c>
      <c r="BE12" s="26" t="s">
        <v>103</v>
      </c>
      <c r="BF12" s="26" t="s">
        <v>103</v>
      </c>
      <c r="BG12" s="26" t="s">
        <v>103</v>
      </c>
      <c r="BH12" s="26" t="s">
        <v>103</v>
      </c>
      <c r="BI12" s="26" t="s">
        <v>103</v>
      </c>
      <c r="BJ12" s="26" t="s">
        <v>103</v>
      </c>
      <c r="BK12" s="26">
        <v>200</v>
      </c>
      <c r="BL12" s="26">
        <v>200</v>
      </c>
      <c r="BM12" s="26">
        <v>200</v>
      </c>
      <c r="BN12" s="26">
        <v>300</v>
      </c>
      <c r="BO12" s="26">
        <v>300</v>
      </c>
      <c r="BP12" s="26">
        <v>300</v>
      </c>
      <c r="BQ12" s="26" t="s">
        <v>71</v>
      </c>
      <c r="BR12" s="26" t="s">
        <v>71</v>
      </c>
      <c r="BS12" s="26" t="s">
        <v>71</v>
      </c>
      <c r="BT12" s="26" t="s">
        <v>81</v>
      </c>
      <c r="BU12" s="26" t="s">
        <v>81</v>
      </c>
      <c r="BV12" s="26" t="s">
        <v>81</v>
      </c>
      <c r="BW12" s="26" t="s">
        <v>68</v>
      </c>
      <c r="BX12" s="26" t="s">
        <v>68</v>
      </c>
      <c r="BY12" s="26" t="s">
        <v>68</v>
      </c>
      <c r="BZ12" s="26" t="s">
        <v>68</v>
      </c>
      <c r="CA12" s="26" t="s">
        <v>68</v>
      </c>
      <c r="CB12" s="26" t="s">
        <v>68</v>
      </c>
      <c r="CC12" s="26" t="s">
        <v>68</v>
      </c>
      <c r="CD12" s="26">
        <v>124</v>
      </c>
      <c r="CE12" s="26">
        <v>124</v>
      </c>
      <c r="CF12" s="26">
        <v>124</v>
      </c>
      <c r="CG12" s="26">
        <v>142</v>
      </c>
      <c r="CH12" s="26">
        <v>142</v>
      </c>
      <c r="CI12" s="26">
        <v>142</v>
      </c>
      <c r="CJ12" s="26">
        <v>142</v>
      </c>
      <c r="CK12" s="26" t="s">
        <v>68</v>
      </c>
      <c r="CL12" s="26" t="s">
        <v>68</v>
      </c>
      <c r="CM12" s="26" t="s">
        <v>104</v>
      </c>
      <c r="CN12" s="26" t="s">
        <v>105</v>
      </c>
      <c r="CO12" s="26" t="s">
        <v>105</v>
      </c>
      <c r="CP12" s="26" t="s">
        <v>105</v>
      </c>
      <c r="CQ12" s="26" t="s">
        <v>105</v>
      </c>
      <c r="CR12" s="26" t="s">
        <v>105</v>
      </c>
      <c r="CS12" s="26" t="s">
        <v>105</v>
      </c>
      <c r="CT12" s="33">
        <v>1837</v>
      </c>
      <c r="CU12" s="33">
        <v>1837</v>
      </c>
      <c r="CV12" s="33">
        <v>1837</v>
      </c>
      <c r="CW12" s="33">
        <v>1837</v>
      </c>
      <c r="CX12" s="33">
        <v>1837</v>
      </c>
      <c r="CY12" s="33">
        <v>1837</v>
      </c>
      <c r="CZ12" s="33">
        <v>1837</v>
      </c>
      <c r="DA12" s="26" t="s">
        <v>81</v>
      </c>
      <c r="DB12" s="26"/>
      <c r="DC12" s="26"/>
      <c r="DD12" s="26"/>
      <c r="DE12" s="26"/>
      <c r="DF12" s="26" t="s">
        <v>81</v>
      </c>
      <c r="DG12" s="26"/>
      <c r="DH12" s="26"/>
      <c r="DI12" s="26"/>
      <c r="DJ12" s="26" t="s">
        <v>81</v>
      </c>
      <c r="DK12" s="26"/>
      <c r="DL12" s="26"/>
      <c r="DM12" s="26"/>
      <c r="DN12" s="26" t="s">
        <v>81</v>
      </c>
      <c r="DO12" s="26"/>
      <c r="DP12" s="26"/>
      <c r="DQ12" s="26"/>
      <c r="DR12" s="26"/>
      <c r="DS12" s="27"/>
      <c r="DT12" s="14">
        <v>7</v>
      </c>
    </row>
    <row r="13" spans="2:124" customFormat="1" ht="15" customHeight="1">
      <c r="B13" s="28">
        <v>4778</v>
      </c>
      <c r="C13" s="29" t="s">
        <v>73</v>
      </c>
      <c r="D13" s="29" t="s">
        <v>73</v>
      </c>
      <c r="E13" s="29" t="s">
        <v>73</v>
      </c>
      <c r="F13" s="29" t="s">
        <v>73</v>
      </c>
      <c r="G13" s="29" t="s">
        <v>73</v>
      </c>
      <c r="H13" s="26" t="s">
        <v>106</v>
      </c>
      <c r="I13" s="26" t="s">
        <v>106</v>
      </c>
      <c r="J13" s="26" t="s">
        <v>106</v>
      </c>
      <c r="K13" s="26" t="s">
        <v>106</v>
      </c>
      <c r="L13" s="26" t="s">
        <v>106</v>
      </c>
      <c r="M13" s="26" t="s">
        <v>86</v>
      </c>
      <c r="N13" s="26" t="s">
        <v>86</v>
      </c>
      <c r="O13" s="26" t="s">
        <v>86</v>
      </c>
      <c r="P13" s="26" t="s">
        <v>86</v>
      </c>
      <c r="Q13" s="26">
        <v>80</v>
      </c>
      <c r="R13" s="26">
        <v>80</v>
      </c>
      <c r="S13" s="26">
        <v>80</v>
      </c>
      <c r="T13" s="26">
        <v>80</v>
      </c>
      <c r="U13" s="23" t="s">
        <v>65</v>
      </c>
      <c r="V13" s="24"/>
      <c r="W13" s="24"/>
      <c r="X13" s="24"/>
      <c r="Y13" s="24"/>
      <c r="Z13" s="24"/>
      <c r="AA13" s="25"/>
      <c r="AB13" s="29" t="s">
        <v>261</v>
      </c>
      <c r="AC13" s="29" t="s">
        <v>77</v>
      </c>
      <c r="AD13" s="29" t="s">
        <v>77</v>
      </c>
      <c r="AE13" s="29" t="s">
        <v>77</v>
      </c>
      <c r="AF13" s="29" t="s">
        <v>77</v>
      </c>
      <c r="AG13" s="29" t="s">
        <v>77</v>
      </c>
      <c r="AH13" s="29" t="s">
        <v>77</v>
      </c>
      <c r="AI13" s="29" t="s">
        <v>77</v>
      </c>
      <c r="AJ13" s="29" t="s">
        <v>77</v>
      </c>
      <c r="AK13" s="29" t="s">
        <v>77</v>
      </c>
      <c r="AL13" s="29" t="s">
        <v>77</v>
      </c>
      <c r="AM13" s="29" t="s">
        <v>77</v>
      </c>
      <c r="AN13" s="29" t="s">
        <v>77</v>
      </c>
      <c r="AO13" s="26" t="s">
        <v>266</v>
      </c>
      <c r="AP13" s="26" t="s">
        <v>90</v>
      </c>
      <c r="AQ13" s="26" t="s">
        <v>90</v>
      </c>
      <c r="AR13" s="26" t="s">
        <v>90</v>
      </c>
      <c r="AS13" s="26" t="s">
        <v>90</v>
      </c>
      <c r="AT13" s="26" t="s">
        <v>90</v>
      </c>
      <c r="AU13" s="26" t="s">
        <v>90</v>
      </c>
      <c r="AV13" s="26" t="s">
        <v>90</v>
      </c>
      <c r="AW13" s="26" t="s">
        <v>90</v>
      </c>
      <c r="AX13" s="26" t="s">
        <v>90</v>
      </c>
      <c r="AY13" s="26" t="s">
        <v>90</v>
      </c>
      <c r="AZ13" s="26" t="s">
        <v>235</v>
      </c>
      <c r="BA13" s="26" t="s">
        <v>107</v>
      </c>
      <c r="BB13" s="26" t="s">
        <v>107</v>
      </c>
      <c r="BC13" s="26" t="s">
        <v>107</v>
      </c>
      <c r="BD13" s="26" t="s">
        <v>107</v>
      </c>
      <c r="BE13" s="26" t="s">
        <v>107</v>
      </c>
      <c r="BF13" s="26" t="s">
        <v>107</v>
      </c>
      <c r="BG13" s="26" t="s">
        <v>107</v>
      </c>
      <c r="BH13" s="26" t="s">
        <v>107</v>
      </c>
      <c r="BI13" s="26" t="s">
        <v>107</v>
      </c>
      <c r="BJ13" s="26" t="s">
        <v>107</v>
      </c>
      <c r="BK13" s="26">
        <v>200</v>
      </c>
      <c r="BL13" s="26">
        <v>200</v>
      </c>
      <c r="BM13" s="26">
        <v>200</v>
      </c>
      <c r="BN13" s="26">
        <v>300</v>
      </c>
      <c r="BO13" s="26">
        <v>300</v>
      </c>
      <c r="BP13" s="26">
        <v>300</v>
      </c>
      <c r="BQ13" s="26" t="s">
        <v>71</v>
      </c>
      <c r="BR13" s="26" t="s">
        <v>71</v>
      </c>
      <c r="BS13" s="26" t="s">
        <v>71</v>
      </c>
      <c r="BT13" s="26" t="s">
        <v>81</v>
      </c>
      <c r="BU13" s="26" t="s">
        <v>81</v>
      </c>
      <c r="BV13" s="26" t="s">
        <v>81</v>
      </c>
      <c r="BW13" s="26" t="s">
        <v>68</v>
      </c>
      <c r="BX13" s="26" t="s">
        <v>68</v>
      </c>
      <c r="BY13" s="26" t="s">
        <v>68</v>
      </c>
      <c r="BZ13" s="26" t="s">
        <v>68</v>
      </c>
      <c r="CA13" s="26" t="s">
        <v>68</v>
      </c>
      <c r="CB13" s="26" t="s">
        <v>68</v>
      </c>
      <c r="CC13" s="26" t="s">
        <v>68</v>
      </c>
      <c r="CD13" s="26">
        <v>124</v>
      </c>
      <c r="CE13" s="26">
        <v>124</v>
      </c>
      <c r="CF13" s="26">
        <v>124</v>
      </c>
      <c r="CG13" s="26">
        <v>140</v>
      </c>
      <c r="CH13" s="26">
        <v>140</v>
      </c>
      <c r="CI13" s="26">
        <v>140</v>
      </c>
      <c r="CJ13" s="26">
        <v>140</v>
      </c>
      <c r="CK13" s="26" t="s">
        <v>68</v>
      </c>
      <c r="CL13" s="26" t="s">
        <v>68</v>
      </c>
      <c r="CM13" s="26" t="s">
        <v>84</v>
      </c>
      <c r="CN13" s="26" t="s">
        <v>85</v>
      </c>
      <c r="CO13" s="26" t="s">
        <v>85</v>
      </c>
      <c r="CP13" s="26" t="s">
        <v>85</v>
      </c>
      <c r="CQ13" s="26" t="s">
        <v>85</v>
      </c>
      <c r="CR13" s="26" t="s">
        <v>85</v>
      </c>
      <c r="CS13" s="26" t="s">
        <v>85</v>
      </c>
      <c r="CT13" s="26" t="s">
        <v>108</v>
      </c>
      <c r="CU13" s="26" t="s">
        <v>108</v>
      </c>
      <c r="CV13" s="26" t="s">
        <v>108</v>
      </c>
      <c r="CW13" s="26" t="s">
        <v>108</v>
      </c>
      <c r="CX13" s="26" t="s">
        <v>108</v>
      </c>
      <c r="CY13" s="26" t="s">
        <v>108</v>
      </c>
      <c r="CZ13" s="26" t="s">
        <v>108</v>
      </c>
      <c r="DA13" s="26" t="s">
        <v>81</v>
      </c>
      <c r="DB13" s="26"/>
      <c r="DC13" s="26"/>
      <c r="DD13" s="26"/>
      <c r="DE13" s="26"/>
      <c r="DF13" s="26" t="s">
        <v>81</v>
      </c>
      <c r="DG13" s="26"/>
      <c r="DH13" s="26"/>
      <c r="DI13" s="26"/>
      <c r="DJ13" s="26" t="s">
        <v>81</v>
      </c>
      <c r="DK13" s="26"/>
      <c r="DL13" s="26"/>
      <c r="DM13" s="26"/>
      <c r="DN13" s="26" t="s">
        <v>81</v>
      </c>
      <c r="DO13" s="26"/>
      <c r="DP13" s="26"/>
      <c r="DQ13" s="26"/>
      <c r="DR13" s="26"/>
      <c r="DS13" s="27"/>
      <c r="DT13" s="14">
        <v>8</v>
      </c>
    </row>
    <row r="14" spans="2:124" customFormat="1" ht="15" customHeight="1">
      <c r="B14" s="28">
        <v>4779</v>
      </c>
      <c r="C14" s="29" t="s">
        <v>73</v>
      </c>
      <c r="D14" s="29" t="s">
        <v>73</v>
      </c>
      <c r="E14" s="29" t="s">
        <v>73</v>
      </c>
      <c r="F14" s="29" t="s">
        <v>73</v>
      </c>
      <c r="G14" s="29" t="s">
        <v>73</v>
      </c>
      <c r="H14" s="32" t="s">
        <v>109</v>
      </c>
      <c r="I14" s="32" t="s">
        <v>109</v>
      </c>
      <c r="J14" s="32" t="s">
        <v>109</v>
      </c>
      <c r="K14" s="32" t="s">
        <v>109</v>
      </c>
      <c r="L14" s="32" t="s">
        <v>109</v>
      </c>
      <c r="M14" s="26" t="s">
        <v>86</v>
      </c>
      <c r="N14" s="26" t="s">
        <v>86</v>
      </c>
      <c r="O14" s="26" t="s">
        <v>86</v>
      </c>
      <c r="P14" s="26" t="s">
        <v>86</v>
      </c>
      <c r="Q14" s="26">
        <v>40</v>
      </c>
      <c r="R14" s="26">
        <v>40</v>
      </c>
      <c r="S14" s="26">
        <v>40</v>
      </c>
      <c r="T14" s="26">
        <v>40</v>
      </c>
      <c r="U14" s="26" t="s">
        <v>291</v>
      </c>
      <c r="V14" s="26" t="s">
        <v>110</v>
      </c>
      <c r="W14" s="26" t="s">
        <v>110</v>
      </c>
      <c r="X14" s="26" t="s">
        <v>110</v>
      </c>
      <c r="Y14" s="26" t="s">
        <v>110</v>
      </c>
      <c r="Z14" s="26" t="s">
        <v>110</v>
      </c>
      <c r="AA14" s="26" t="s">
        <v>110</v>
      </c>
      <c r="AB14" s="29" t="s">
        <v>261</v>
      </c>
      <c r="AC14" s="29" t="s">
        <v>77</v>
      </c>
      <c r="AD14" s="29" t="s">
        <v>77</v>
      </c>
      <c r="AE14" s="29" t="s">
        <v>77</v>
      </c>
      <c r="AF14" s="29" t="s">
        <v>77</v>
      </c>
      <c r="AG14" s="29" t="s">
        <v>77</v>
      </c>
      <c r="AH14" s="29" t="s">
        <v>77</v>
      </c>
      <c r="AI14" s="29" t="s">
        <v>77</v>
      </c>
      <c r="AJ14" s="29" t="s">
        <v>77</v>
      </c>
      <c r="AK14" s="29" t="s">
        <v>77</v>
      </c>
      <c r="AL14" s="29" t="s">
        <v>77</v>
      </c>
      <c r="AM14" s="29" t="s">
        <v>77</v>
      </c>
      <c r="AN14" s="29" t="s">
        <v>77</v>
      </c>
      <c r="AO14" s="26" t="s">
        <v>265</v>
      </c>
      <c r="AP14" s="26" t="s">
        <v>91</v>
      </c>
      <c r="AQ14" s="26" t="s">
        <v>91</v>
      </c>
      <c r="AR14" s="26" t="s">
        <v>91</v>
      </c>
      <c r="AS14" s="26" t="s">
        <v>91</v>
      </c>
      <c r="AT14" s="26" t="s">
        <v>91</v>
      </c>
      <c r="AU14" s="26" t="s">
        <v>91</v>
      </c>
      <c r="AV14" s="26" t="s">
        <v>91</v>
      </c>
      <c r="AW14" s="26" t="s">
        <v>91</v>
      </c>
      <c r="AX14" s="26" t="s">
        <v>91</v>
      </c>
      <c r="AY14" s="26" t="s">
        <v>91</v>
      </c>
      <c r="AZ14" s="26" t="s">
        <v>273</v>
      </c>
      <c r="BA14" s="26" t="s">
        <v>111</v>
      </c>
      <c r="BB14" s="26" t="s">
        <v>111</v>
      </c>
      <c r="BC14" s="26" t="s">
        <v>111</v>
      </c>
      <c r="BD14" s="26" t="s">
        <v>111</v>
      </c>
      <c r="BE14" s="26" t="s">
        <v>111</v>
      </c>
      <c r="BF14" s="26" t="s">
        <v>111</v>
      </c>
      <c r="BG14" s="26" t="s">
        <v>111</v>
      </c>
      <c r="BH14" s="26" t="s">
        <v>111</v>
      </c>
      <c r="BI14" s="26" t="s">
        <v>111</v>
      </c>
      <c r="BJ14" s="26" t="s">
        <v>111</v>
      </c>
      <c r="BK14" s="26">
        <v>330</v>
      </c>
      <c r="BL14" s="26">
        <v>330</v>
      </c>
      <c r="BM14" s="26">
        <v>330</v>
      </c>
      <c r="BN14" s="26">
        <v>600</v>
      </c>
      <c r="BO14" s="26">
        <v>600</v>
      </c>
      <c r="BP14" s="26">
        <v>600</v>
      </c>
      <c r="BQ14" s="26" t="s">
        <v>71</v>
      </c>
      <c r="BR14" s="26" t="s">
        <v>71</v>
      </c>
      <c r="BS14" s="26" t="s">
        <v>71</v>
      </c>
      <c r="BT14" s="26" t="s">
        <v>81</v>
      </c>
      <c r="BU14" s="26" t="s">
        <v>81</v>
      </c>
      <c r="BV14" s="26" t="s">
        <v>81</v>
      </c>
      <c r="BW14" s="26" t="s">
        <v>81</v>
      </c>
      <c r="BX14" s="26" t="s">
        <v>81</v>
      </c>
      <c r="BY14" s="26" t="s">
        <v>81</v>
      </c>
      <c r="BZ14" s="26" t="s">
        <v>81</v>
      </c>
      <c r="CA14" s="31" t="s">
        <v>246</v>
      </c>
      <c r="CB14" s="31" t="s">
        <v>92</v>
      </c>
      <c r="CC14" s="31" t="s">
        <v>92</v>
      </c>
      <c r="CD14" s="26">
        <v>287</v>
      </c>
      <c r="CE14" s="26">
        <v>285</v>
      </c>
      <c r="CF14" s="26">
        <v>285</v>
      </c>
      <c r="CG14" s="23">
        <v>481</v>
      </c>
      <c r="CH14" s="24"/>
      <c r="CI14" s="24"/>
      <c r="CJ14" s="25"/>
      <c r="CK14" s="31" t="s">
        <v>247</v>
      </c>
      <c r="CL14" s="31" t="s">
        <v>112</v>
      </c>
      <c r="CM14" s="26" t="s">
        <v>104</v>
      </c>
      <c r="CN14" s="26" t="s">
        <v>105</v>
      </c>
      <c r="CO14" s="26" t="s">
        <v>105</v>
      </c>
      <c r="CP14" s="26" t="s">
        <v>105</v>
      </c>
      <c r="CQ14" s="26" t="s">
        <v>105</v>
      </c>
      <c r="CR14" s="26" t="s">
        <v>105</v>
      </c>
      <c r="CS14" s="26" t="s">
        <v>105</v>
      </c>
      <c r="CT14" s="26">
        <v>1.522</v>
      </c>
      <c r="CU14" s="26">
        <v>2.5100000000000001E-2</v>
      </c>
      <c r="CV14" s="26">
        <v>2.5100000000000001E-2</v>
      </c>
      <c r="CW14" s="26">
        <v>2.5100000000000001E-2</v>
      </c>
      <c r="CX14" s="26">
        <v>2.5100000000000001E-2</v>
      </c>
      <c r="CY14" s="26">
        <v>2.5100000000000001E-2</v>
      </c>
      <c r="CZ14" s="26">
        <v>2.5100000000000001E-2</v>
      </c>
      <c r="DA14" s="26" t="s">
        <v>81</v>
      </c>
      <c r="DB14" s="26"/>
      <c r="DC14" s="26"/>
      <c r="DD14" s="26"/>
      <c r="DE14" s="26"/>
      <c r="DF14" s="26" t="s">
        <v>81</v>
      </c>
      <c r="DG14" s="26"/>
      <c r="DH14" s="26"/>
      <c r="DI14" s="26"/>
      <c r="DJ14" s="26" t="s">
        <v>81</v>
      </c>
      <c r="DK14" s="26"/>
      <c r="DL14" s="26"/>
      <c r="DM14" s="26"/>
      <c r="DN14" s="26" t="s">
        <v>81</v>
      </c>
      <c r="DO14" s="26"/>
      <c r="DP14" s="26"/>
      <c r="DQ14" s="26"/>
      <c r="DR14" s="26"/>
      <c r="DS14" s="27"/>
      <c r="DT14" s="14">
        <v>9</v>
      </c>
    </row>
    <row r="15" spans="2:124" customFormat="1" ht="15" customHeight="1">
      <c r="B15" s="28">
        <v>4780</v>
      </c>
      <c r="C15" s="29" t="s">
        <v>73</v>
      </c>
      <c r="D15" s="29" t="s">
        <v>73</v>
      </c>
      <c r="E15" s="29" t="s">
        <v>73</v>
      </c>
      <c r="F15" s="29" t="s">
        <v>73</v>
      </c>
      <c r="G15" s="29" t="s">
        <v>73</v>
      </c>
      <c r="H15" s="26" t="s">
        <v>113</v>
      </c>
      <c r="I15" s="26" t="s">
        <v>113</v>
      </c>
      <c r="J15" s="26" t="s">
        <v>113</v>
      </c>
      <c r="K15" s="26" t="s">
        <v>113</v>
      </c>
      <c r="L15" s="26" t="s">
        <v>113</v>
      </c>
      <c r="M15" s="26" t="s">
        <v>86</v>
      </c>
      <c r="N15" s="26" t="s">
        <v>86</v>
      </c>
      <c r="O15" s="26" t="s">
        <v>86</v>
      </c>
      <c r="P15" s="26" t="s">
        <v>86</v>
      </c>
      <c r="Q15" s="26">
        <v>40</v>
      </c>
      <c r="R15" s="26" t="s">
        <v>76</v>
      </c>
      <c r="S15" s="26" t="s">
        <v>76</v>
      </c>
      <c r="T15" s="26" t="s">
        <v>76</v>
      </c>
      <c r="U15" s="26" t="s">
        <v>291</v>
      </c>
      <c r="V15" s="26" t="s">
        <v>110</v>
      </c>
      <c r="W15" s="26" t="s">
        <v>110</v>
      </c>
      <c r="X15" s="26" t="s">
        <v>110</v>
      </c>
      <c r="Y15" s="26" t="s">
        <v>110</v>
      </c>
      <c r="Z15" s="26" t="s">
        <v>110</v>
      </c>
      <c r="AA15" s="26" t="s">
        <v>110</v>
      </c>
      <c r="AB15" s="29" t="s">
        <v>261</v>
      </c>
      <c r="AC15" s="29" t="s">
        <v>77</v>
      </c>
      <c r="AD15" s="29" t="s">
        <v>77</v>
      </c>
      <c r="AE15" s="29" t="s">
        <v>77</v>
      </c>
      <c r="AF15" s="29" t="s">
        <v>77</v>
      </c>
      <c r="AG15" s="29" t="s">
        <v>77</v>
      </c>
      <c r="AH15" s="29" t="s">
        <v>77</v>
      </c>
      <c r="AI15" s="29" t="s">
        <v>77</v>
      </c>
      <c r="AJ15" s="29" t="s">
        <v>77</v>
      </c>
      <c r="AK15" s="29" t="s">
        <v>77</v>
      </c>
      <c r="AL15" s="29" t="s">
        <v>77</v>
      </c>
      <c r="AM15" s="29" t="s">
        <v>77</v>
      </c>
      <c r="AN15" s="29" t="s">
        <v>77</v>
      </c>
      <c r="AO15" s="26" t="s">
        <v>216</v>
      </c>
      <c r="AP15" s="26" t="s">
        <v>114</v>
      </c>
      <c r="AQ15" s="26" t="s">
        <v>114</v>
      </c>
      <c r="AR15" s="26" t="s">
        <v>114</v>
      </c>
      <c r="AS15" s="26" t="s">
        <v>114</v>
      </c>
      <c r="AT15" s="26" t="s">
        <v>114</v>
      </c>
      <c r="AU15" s="26" t="s">
        <v>114</v>
      </c>
      <c r="AV15" s="26" t="s">
        <v>114</v>
      </c>
      <c r="AW15" s="26" t="s">
        <v>114</v>
      </c>
      <c r="AX15" s="26" t="s">
        <v>114</v>
      </c>
      <c r="AY15" s="26" t="s">
        <v>114</v>
      </c>
      <c r="AZ15" s="26" t="s">
        <v>270</v>
      </c>
      <c r="BA15" s="26" t="s">
        <v>115</v>
      </c>
      <c r="BB15" s="26" t="s">
        <v>115</v>
      </c>
      <c r="BC15" s="26" t="s">
        <v>115</v>
      </c>
      <c r="BD15" s="26" t="s">
        <v>115</v>
      </c>
      <c r="BE15" s="26" t="s">
        <v>115</v>
      </c>
      <c r="BF15" s="26" t="s">
        <v>115</v>
      </c>
      <c r="BG15" s="26" t="s">
        <v>115</v>
      </c>
      <c r="BH15" s="26" t="s">
        <v>115</v>
      </c>
      <c r="BI15" s="26" t="s">
        <v>115</v>
      </c>
      <c r="BJ15" s="26" t="s">
        <v>115</v>
      </c>
      <c r="BK15" s="26">
        <v>330</v>
      </c>
      <c r="BL15" s="26">
        <v>330</v>
      </c>
      <c r="BM15" s="26">
        <v>330</v>
      </c>
      <c r="BN15" s="26">
        <v>600</v>
      </c>
      <c r="BO15" s="26">
        <v>600</v>
      </c>
      <c r="BP15" s="26">
        <v>600</v>
      </c>
      <c r="BQ15" s="26" t="s">
        <v>71</v>
      </c>
      <c r="BR15" s="26" t="s">
        <v>71</v>
      </c>
      <c r="BS15" s="26" t="s">
        <v>71</v>
      </c>
      <c r="BT15" s="26" t="s">
        <v>81</v>
      </c>
      <c r="BU15" s="26" t="s">
        <v>81</v>
      </c>
      <c r="BV15" s="26" t="s">
        <v>81</v>
      </c>
      <c r="BW15" s="26" t="s">
        <v>68</v>
      </c>
      <c r="BX15" s="26" t="s">
        <v>68</v>
      </c>
      <c r="BY15" s="26" t="s">
        <v>68</v>
      </c>
      <c r="BZ15" s="26" t="s">
        <v>68</v>
      </c>
      <c r="CA15" s="26" t="s">
        <v>68</v>
      </c>
      <c r="CB15" s="26" t="s">
        <v>68</v>
      </c>
      <c r="CC15" s="26" t="s">
        <v>68</v>
      </c>
      <c r="CD15" s="26">
        <v>279</v>
      </c>
      <c r="CE15" s="26">
        <v>279</v>
      </c>
      <c r="CF15" s="26">
        <v>279</v>
      </c>
      <c r="CG15" s="26">
        <v>481</v>
      </c>
      <c r="CH15" s="26">
        <v>481</v>
      </c>
      <c r="CI15" s="26">
        <v>481</v>
      </c>
      <c r="CJ15" s="26">
        <v>481</v>
      </c>
      <c r="CK15" s="26" t="s">
        <v>68</v>
      </c>
      <c r="CL15" s="26" t="s">
        <v>68</v>
      </c>
      <c r="CM15" s="26" t="s">
        <v>104</v>
      </c>
      <c r="CN15" s="26" t="s">
        <v>105</v>
      </c>
      <c r="CO15" s="26" t="s">
        <v>105</v>
      </c>
      <c r="CP15" s="26" t="s">
        <v>105</v>
      </c>
      <c r="CQ15" s="26" t="s">
        <v>105</v>
      </c>
      <c r="CR15" s="26" t="s">
        <v>105</v>
      </c>
      <c r="CS15" s="26" t="s">
        <v>105</v>
      </c>
      <c r="CT15" s="33">
        <v>2221</v>
      </c>
      <c r="CU15" s="33">
        <v>2221</v>
      </c>
      <c r="CV15" s="33">
        <v>2221</v>
      </c>
      <c r="CW15" s="33">
        <v>2221</v>
      </c>
      <c r="CX15" s="33">
        <v>2221</v>
      </c>
      <c r="CY15" s="33">
        <v>2221</v>
      </c>
      <c r="CZ15" s="33">
        <v>2221</v>
      </c>
      <c r="DA15" s="26" t="s">
        <v>81</v>
      </c>
      <c r="DB15" s="26"/>
      <c r="DC15" s="26"/>
      <c r="DD15" s="26"/>
      <c r="DE15" s="26"/>
      <c r="DF15" s="26" t="s">
        <v>81</v>
      </c>
      <c r="DG15" s="26"/>
      <c r="DH15" s="26"/>
      <c r="DI15" s="26"/>
      <c r="DJ15" s="26" t="s">
        <v>81</v>
      </c>
      <c r="DK15" s="26"/>
      <c r="DL15" s="26"/>
      <c r="DM15" s="26"/>
      <c r="DN15" s="26" t="s">
        <v>81</v>
      </c>
      <c r="DO15" s="26"/>
      <c r="DP15" s="26"/>
      <c r="DQ15" s="26"/>
      <c r="DR15" s="26"/>
      <c r="DS15" s="27"/>
      <c r="DT15" s="14">
        <v>10</v>
      </c>
    </row>
    <row r="16" spans="2:124" customFormat="1" ht="15" customHeight="1">
      <c r="B16" s="28">
        <v>4781</v>
      </c>
      <c r="C16" s="29" t="s">
        <v>73</v>
      </c>
      <c r="D16" s="29" t="s">
        <v>73</v>
      </c>
      <c r="E16" s="29" t="s">
        <v>73</v>
      </c>
      <c r="F16" s="29" t="s">
        <v>73</v>
      </c>
      <c r="G16" s="29" t="s">
        <v>73</v>
      </c>
      <c r="H16" s="26" t="s">
        <v>113</v>
      </c>
      <c r="I16" s="26" t="s">
        <v>113</v>
      </c>
      <c r="J16" s="26" t="s">
        <v>113</v>
      </c>
      <c r="K16" s="26" t="s">
        <v>113</v>
      </c>
      <c r="L16" s="26" t="s">
        <v>113</v>
      </c>
      <c r="M16" s="26" t="s">
        <v>86</v>
      </c>
      <c r="N16" s="26" t="s">
        <v>86</v>
      </c>
      <c r="O16" s="26" t="s">
        <v>86</v>
      </c>
      <c r="P16" s="26" t="s">
        <v>86</v>
      </c>
      <c r="Q16" s="26">
        <v>40</v>
      </c>
      <c r="R16" s="26" t="s">
        <v>76</v>
      </c>
      <c r="S16" s="26" t="s">
        <v>76</v>
      </c>
      <c r="T16" s="26" t="s">
        <v>76</v>
      </c>
      <c r="U16" s="26" t="s">
        <v>291</v>
      </c>
      <c r="V16" s="26" t="s">
        <v>110</v>
      </c>
      <c r="W16" s="26" t="s">
        <v>110</v>
      </c>
      <c r="X16" s="26" t="s">
        <v>110</v>
      </c>
      <c r="Y16" s="26" t="s">
        <v>110</v>
      </c>
      <c r="Z16" s="26" t="s">
        <v>110</v>
      </c>
      <c r="AA16" s="26" t="s">
        <v>110</v>
      </c>
      <c r="AB16" s="29" t="s">
        <v>261</v>
      </c>
      <c r="AC16" s="29" t="s">
        <v>77</v>
      </c>
      <c r="AD16" s="29" t="s">
        <v>77</v>
      </c>
      <c r="AE16" s="29" t="s">
        <v>77</v>
      </c>
      <c r="AF16" s="29" t="s">
        <v>77</v>
      </c>
      <c r="AG16" s="29" t="s">
        <v>77</v>
      </c>
      <c r="AH16" s="29" t="s">
        <v>77</v>
      </c>
      <c r="AI16" s="29" t="s">
        <v>77</v>
      </c>
      <c r="AJ16" s="29" t="s">
        <v>77</v>
      </c>
      <c r="AK16" s="29" t="s">
        <v>77</v>
      </c>
      <c r="AL16" s="29" t="s">
        <v>77</v>
      </c>
      <c r="AM16" s="29" t="s">
        <v>77</v>
      </c>
      <c r="AN16" s="29" t="s">
        <v>77</v>
      </c>
      <c r="AO16" s="26" t="s">
        <v>216</v>
      </c>
      <c r="AP16" s="26" t="s">
        <v>114</v>
      </c>
      <c r="AQ16" s="26" t="s">
        <v>114</v>
      </c>
      <c r="AR16" s="26" t="s">
        <v>114</v>
      </c>
      <c r="AS16" s="26" t="s">
        <v>114</v>
      </c>
      <c r="AT16" s="26" t="s">
        <v>114</v>
      </c>
      <c r="AU16" s="26" t="s">
        <v>114</v>
      </c>
      <c r="AV16" s="26" t="s">
        <v>114</v>
      </c>
      <c r="AW16" s="26" t="s">
        <v>114</v>
      </c>
      <c r="AX16" s="26" t="s">
        <v>114</v>
      </c>
      <c r="AY16" s="26" t="s">
        <v>114</v>
      </c>
      <c r="AZ16" s="26" t="s">
        <v>271</v>
      </c>
      <c r="BA16" s="26" t="s">
        <v>115</v>
      </c>
      <c r="BB16" s="26" t="s">
        <v>115</v>
      </c>
      <c r="BC16" s="26" t="s">
        <v>115</v>
      </c>
      <c r="BD16" s="26" t="s">
        <v>115</v>
      </c>
      <c r="BE16" s="26" t="s">
        <v>115</v>
      </c>
      <c r="BF16" s="26" t="s">
        <v>115</v>
      </c>
      <c r="BG16" s="26" t="s">
        <v>115</v>
      </c>
      <c r="BH16" s="26" t="s">
        <v>115</v>
      </c>
      <c r="BI16" s="26" t="s">
        <v>115</v>
      </c>
      <c r="BJ16" s="26" t="s">
        <v>115</v>
      </c>
      <c r="BK16" s="26">
        <v>330</v>
      </c>
      <c r="BL16" s="26">
        <v>330</v>
      </c>
      <c r="BM16" s="26">
        <v>330</v>
      </c>
      <c r="BN16" s="26">
        <v>600</v>
      </c>
      <c r="BO16" s="26">
        <v>600</v>
      </c>
      <c r="BP16" s="26">
        <v>600</v>
      </c>
      <c r="BQ16" s="26" t="s">
        <v>71</v>
      </c>
      <c r="BR16" s="26" t="s">
        <v>71</v>
      </c>
      <c r="BS16" s="26" t="s">
        <v>71</v>
      </c>
      <c r="BT16" s="26" t="s">
        <v>81</v>
      </c>
      <c r="BU16" s="26" t="s">
        <v>81</v>
      </c>
      <c r="BV16" s="26" t="s">
        <v>81</v>
      </c>
      <c r="BW16" s="26" t="s">
        <v>68</v>
      </c>
      <c r="BX16" s="26" t="s">
        <v>68</v>
      </c>
      <c r="BY16" s="26" t="s">
        <v>68</v>
      </c>
      <c r="BZ16" s="26" t="s">
        <v>68</v>
      </c>
      <c r="CA16" s="26" t="s">
        <v>68</v>
      </c>
      <c r="CB16" s="26" t="s">
        <v>68</v>
      </c>
      <c r="CC16" s="26" t="s">
        <v>68</v>
      </c>
      <c r="CD16" s="26">
        <v>279</v>
      </c>
      <c r="CE16" s="26">
        <v>279</v>
      </c>
      <c r="CF16" s="26">
        <v>279</v>
      </c>
      <c r="CG16" s="26">
        <v>481</v>
      </c>
      <c r="CH16" s="26">
        <v>481</v>
      </c>
      <c r="CI16" s="26">
        <v>481</v>
      </c>
      <c r="CJ16" s="26">
        <v>481</v>
      </c>
      <c r="CK16" s="26" t="s">
        <v>68</v>
      </c>
      <c r="CL16" s="26" t="s">
        <v>68</v>
      </c>
      <c r="CM16" s="31" t="s">
        <v>104</v>
      </c>
      <c r="CN16" s="31" t="s">
        <v>105</v>
      </c>
      <c r="CO16" s="31" t="s">
        <v>105</v>
      </c>
      <c r="CP16" s="31" t="s">
        <v>105</v>
      </c>
      <c r="CQ16" s="31" t="s">
        <v>105</v>
      </c>
      <c r="CR16" s="31" t="s">
        <v>105</v>
      </c>
      <c r="CS16" s="31" t="s">
        <v>105</v>
      </c>
      <c r="CT16" s="33">
        <v>2221</v>
      </c>
      <c r="CU16" s="33">
        <v>2221</v>
      </c>
      <c r="CV16" s="33">
        <v>2221</v>
      </c>
      <c r="CW16" s="33">
        <v>2221</v>
      </c>
      <c r="CX16" s="33">
        <v>2221</v>
      </c>
      <c r="CY16" s="33">
        <v>2221</v>
      </c>
      <c r="CZ16" s="33">
        <v>2221</v>
      </c>
      <c r="DA16" s="26" t="s">
        <v>81</v>
      </c>
      <c r="DB16" s="26"/>
      <c r="DC16" s="26"/>
      <c r="DD16" s="26"/>
      <c r="DE16" s="26"/>
      <c r="DF16" s="26" t="s">
        <v>81</v>
      </c>
      <c r="DG16" s="26"/>
      <c r="DH16" s="26"/>
      <c r="DI16" s="26"/>
      <c r="DJ16" s="26" t="s">
        <v>81</v>
      </c>
      <c r="DK16" s="26"/>
      <c r="DL16" s="26"/>
      <c r="DM16" s="26"/>
      <c r="DN16" s="26" t="s">
        <v>81</v>
      </c>
      <c r="DO16" s="26"/>
      <c r="DP16" s="26"/>
      <c r="DQ16" s="26"/>
      <c r="DR16" s="26"/>
      <c r="DS16" s="27"/>
      <c r="DT16" s="14">
        <v>11</v>
      </c>
    </row>
    <row r="17" spans="2:124" customFormat="1" ht="15" customHeight="1">
      <c r="B17" s="28">
        <v>4782</v>
      </c>
      <c r="C17" s="29" t="s">
        <v>73</v>
      </c>
      <c r="D17" s="29" t="s">
        <v>73</v>
      </c>
      <c r="E17" s="29" t="s">
        <v>73</v>
      </c>
      <c r="F17" s="29" t="s">
        <v>73</v>
      </c>
      <c r="G17" s="29" t="s">
        <v>73</v>
      </c>
      <c r="H17" s="26" t="s">
        <v>67</v>
      </c>
      <c r="I17" s="26" t="s">
        <v>116</v>
      </c>
      <c r="J17" s="26" t="s">
        <v>116</v>
      </c>
      <c r="K17" s="26" t="s">
        <v>116</v>
      </c>
      <c r="L17" s="26" t="s">
        <v>116</v>
      </c>
      <c r="M17" s="26" t="s">
        <v>86</v>
      </c>
      <c r="N17" s="26" t="s">
        <v>86</v>
      </c>
      <c r="O17" s="26" t="s">
        <v>86</v>
      </c>
      <c r="P17" s="26" t="s">
        <v>86</v>
      </c>
      <c r="Q17" s="26">
        <v>80</v>
      </c>
      <c r="R17" s="26">
        <v>80</v>
      </c>
      <c r="S17" s="26">
        <v>80</v>
      </c>
      <c r="T17" s="26">
        <v>80</v>
      </c>
      <c r="U17" s="26" t="s">
        <v>117</v>
      </c>
      <c r="V17" s="26" t="s">
        <v>117</v>
      </c>
      <c r="W17" s="26" t="s">
        <v>117</v>
      </c>
      <c r="X17" s="26" t="s">
        <v>117</v>
      </c>
      <c r="Y17" s="26" t="s">
        <v>117</v>
      </c>
      <c r="Z17" s="26" t="s">
        <v>117</v>
      </c>
      <c r="AA17" s="26" t="s">
        <v>117</v>
      </c>
      <c r="AB17" s="29" t="s">
        <v>261</v>
      </c>
      <c r="AC17" s="29" t="s">
        <v>77</v>
      </c>
      <c r="AD17" s="29" t="s">
        <v>77</v>
      </c>
      <c r="AE17" s="29" t="s">
        <v>77</v>
      </c>
      <c r="AF17" s="29" t="s">
        <v>77</v>
      </c>
      <c r="AG17" s="29" t="s">
        <v>77</v>
      </c>
      <c r="AH17" s="29" t="s">
        <v>77</v>
      </c>
      <c r="AI17" s="29" t="s">
        <v>77</v>
      </c>
      <c r="AJ17" s="29" t="s">
        <v>77</v>
      </c>
      <c r="AK17" s="29" t="s">
        <v>77</v>
      </c>
      <c r="AL17" s="29" t="s">
        <v>77</v>
      </c>
      <c r="AM17" s="29" t="s">
        <v>77</v>
      </c>
      <c r="AN17" s="29" t="s">
        <v>77</v>
      </c>
      <c r="AO17" s="26" t="s">
        <v>216</v>
      </c>
      <c r="AP17" s="26" t="s">
        <v>114</v>
      </c>
      <c r="AQ17" s="26" t="s">
        <v>114</v>
      </c>
      <c r="AR17" s="26" t="s">
        <v>114</v>
      </c>
      <c r="AS17" s="26" t="s">
        <v>114</v>
      </c>
      <c r="AT17" s="26" t="s">
        <v>114</v>
      </c>
      <c r="AU17" s="26" t="s">
        <v>114</v>
      </c>
      <c r="AV17" s="26" t="s">
        <v>114</v>
      </c>
      <c r="AW17" s="26" t="s">
        <v>114</v>
      </c>
      <c r="AX17" s="26" t="s">
        <v>114</v>
      </c>
      <c r="AY17" s="26" t="s">
        <v>114</v>
      </c>
      <c r="AZ17" s="26" t="s">
        <v>272</v>
      </c>
      <c r="BA17" s="26" t="s">
        <v>118</v>
      </c>
      <c r="BB17" s="26" t="s">
        <v>118</v>
      </c>
      <c r="BC17" s="26" t="s">
        <v>118</v>
      </c>
      <c r="BD17" s="26" t="s">
        <v>118</v>
      </c>
      <c r="BE17" s="26" t="s">
        <v>118</v>
      </c>
      <c r="BF17" s="26" t="s">
        <v>118</v>
      </c>
      <c r="BG17" s="26" t="s">
        <v>118</v>
      </c>
      <c r="BH17" s="26" t="s">
        <v>118</v>
      </c>
      <c r="BI17" s="26" t="s">
        <v>118</v>
      </c>
      <c r="BJ17" s="26" t="s">
        <v>118</v>
      </c>
      <c r="BK17" s="26">
        <v>330</v>
      </c>
      <c r="BL17" s="26">
        <v>330</v>
      </c>
      <c r="BM17" s="26">
        <v>330</v>
      </c>
      <c r="BN17" s="26">
        <v>600</v>
      </c>
      <c r="BO17" s="26">
        <v>600</v>
      </c>
      <c r="BP17" s="26">
        <v>600</v>
      </c>
      <c r="BQ17" s="26" t="s">
        <v>71</v>
      </c>
      <c r="BR17" s="26" t="s">
        <v>71</v>
      </c>
      <c r="BS17" s="26" t="s">
        <v>71</v>
      </c>
      <c r="BT17" s="26" t="s">
        <v>81</v>
      </c>
      <c r="BU17" s="26" t="s">
        <v>81</v>
      </c>
      <c r="BV17" s="26" t="s">
        <v>81</v>
      </c>
      <c r="BW17" s="26" t="s">
        <v>119</v>
      </c>
      <c r="BX17" s="26" t="s">
        <v>119</v>
      </c>
      <c r="BY17" s="26" t="s">
        <v>119</v>
      </c>
      <c r="BZ17" s="26" t="s">
        <v>119</v>
      </c>
      <c r="CA17" s="26">
        <v>210</v>
      </c>
      <c r="CB17" s="26">
        <v>210</v>
      </c>
      <c r="CC17" s="26">
        <v>210</v>
      </c>
      <c r="CD17" s="26">
        <v>279</v>
      </c>
      <c r="CE17" s="26">
        <v>279</v>
      </c>
      <c r="CF17" s="26">
        <v>279</v>
      </c>
      <c r="CG17" s="26">
        <v>481</v>
      </c>
      <c r="CH17" s="26">
        <v>481</v>
      </c>
      <c r="CI17" s="26">
        <v>481</v>
      </c>
      <c r="CJ17" s="26">
        <v>481</v>
      </c>
      <c r="CK17" s="26" t="s">
        <v>120</v>
      </c>
      <c r="CL17" s="26" t="s">
        <v>120</v>
      </c>
      <c r="CM17" s="26" t="s">
        <v>104</v>
      </c>
      <c r="CN17" s="26" t="s">
        <v>105</v>
      </c>
      <c r="CO17" s="26" t="s">
        <v>105</v>
      </c>
      <c r="CP17" s="26" t="s">
        <v>105</v>
      </c>
      <c r="CQ17" s="26" t="s">
        <v>105</v>
      </c>
      <c r="CR17" s="26" t="s">
        <v>105</v>
      </c>
      <c r="CS17" s="26" t="s">
        <v>105</v>
      </c>
      <c r="CT17" s="33">
        <v>2221</v>
      </c>
      <c r="CU17" s="33">
        <v>2221</v>
      </c>
      <c r="CV17" s="33">
        <v>2221</v>
      </c>
      <c r="CW17" s="33">
        <v>2221</v>
      </c>
      <c r="CX17" s="33">
        <v>2221</v>
      </c>
      <c r="CY17" s="33">
        <v>2221</v>
      </c>
      <c r="CZ17" s="33">
        <v>2221</v>
      </c>
      <c r="DA17" s="26" t="s">
        <v>81</v>
      </c>
      <c r="DB17" s="26"/>
      <c r="DC17" s="26"/>
      <c r="DD17" s="26"/>
      <c r="DE17" s="26"/>
      <c r="DF17" s="26" t="s">
        <v>81</v>
      </c>
      <c r="DG17" s="26"/>
      <c r="DH17" s="26"/>
      <c r="DI17" s="26"/>
      <c r="DJ17" s="26" t="s">
        <v>81</v>
      </c>
      <c r="DK17" s="26"/>
      <c r="DL17" s="26"/>
      <c r="DM17" s="26"/>
      <c r="DN17" s="26" t="s">
        <v>81</v>
      </c>
      <c r="DO17" s="26"/>
      <c r="DP17" s="26"/>
      <c r="DQ17" s="26"/>
      <c r="DR17" s="26"/>
      <c r="DS17" s="27"/>
      <c r="DT17" s="14">
        <v>12</v>
      </c>
    </row>
    <row r="18" spans="2:124" customFormat="1" ht="15" customHeight="1">
      <c r="B18" s="28">
        <v>4783</v>
      </c>
      <c r="C18" s="29" t="s">
        <v>73</v>
      </c>
      <c r="D18" s="29" t="s">
        <v>73</v>
      </c>
      <c r="E18" s="29" t="s">
        <v>73</v>
      </c>
      <c r="F18" s="29" t="s">
        <v>73</v>
      </c>
      <c r="G18" s="29" t="s">
        <v>73</v>
      </c>
      <c r="H18" s="32" t="s">
        <v>109</v>
      </c>
      <c r="I18" s="32" t="s">
        <v>109</v>
      </c>
      <c r="J18" s="32" t="s">
        <v>109</v>
      </c>
      <c r="K18" s="32" t="s">
        <v>109</v>
      </c>
      <c r="L18" s="32" t="s">
        <v>109</v>
      </c>
      <c r="M18" s="26" t="s">
        <v>86</v>
      </c>
      <c r="N18" s="26" t="s">
        <v>86</v>
      </c>
      <c r="O18" s="26" t="s">
        <v>86</v>
      </c>
      <c r="P18" s="26" t="s">
        <v>86</v>
      </c>
      <c r="Q18" s="26">
        <v>40</v>
      </c>
      <c r="R18" s="26">
        <v>80</v>
      </c>
      <c r="S18" s="26">
        <v>80</v>
      </c>
      <c r="T18" s="26">
        <v>80</v>
      </c>
      <c r="U18" s="26" t="s">
        <v>65</v>
      </c>
      <c r="V18" s="26" t="s">
        <v>65</v>
      </c>
      <c r="W18" s="26" t="s">
        <v>65</v>
      </c>
      <c r="X18" s="26" t="s">
        <v>65</v>
      </c>
      <c r="Y18" s="26" t="s">
        <v>65</v>
      </c>
      <c r="Z18" s="26" t="s">
        <v>65</v>
      </c>
      <c r="AA18" s="26" t="s">
        <v>65</v>
      </c>
      <c r="AB18" s="29" t="s">
        <v>261</v>
      </c>
      <c r="AC18" s="29" t="s">
        <v>77</v>
      </c>
      <c r="AD18" s="29" t="s">
        <v>77</v>
      </c>
      <c r="AE18" s="29" t="s">
        <v>77</v>
      </c>
      <c r="AF18" s="29" t="s">
        <v>77</v>
      </c>
      <c r="AG18" s="29" t="s">
        <v>77</v>
      </c>
      <c r="AH18" s="29" t="s">
        <v>77</v>
      </c>
      <c r="AI18" s="29" t="s">
        <v>77</v>
      </c>
      <c r="AJ18" s="29" t="s">
        <v>77</v>
      </c>
      <c r="AK18" s="29" t="s">
        <v>77</v>
      </c>
      <c r="AL18" s="29" t="s">
        <v>77</v>
      </c>
      <c r="AM18" s="29" t="s">
        <v>77</v>
      </c>
      <c r="AN18" s="29" t="s">
        <v>77</v>
      </c>
      <c r="AO18" s="26" t="s">
        <v>273</v>
      </c>
      <c r="AP18" s="26" t="s">
        <v>111</v>
      </c>
      <c r="AQ18" s="26" t="s">
        <v>111</v>
      </c>
      <c r="AR18" s="26" t="s">
        <v>111</v>
      </c>
      <c r="AS18" s="26" t="s">
        <v>111</v>
      </c>
      <c r="AT18" s="26" t="s">
        <v>111</v>
      </c>
      <c r="AU18" s="26" t="s">
        <v>111</v>
      </c>
      <c r="AV18" s="26" t="s">
        <v>111</v>
      </c>
      <c r="AW18" s="26" t="s">
        <v>111</v>
      </c>
      <c r="AX18" s="26" t="s">
        <v>111</v>
      </c>
      <c r="AY18" s="26" t="s">
        <v>111</v>
      </c>
      <c r="AZ18" s="26" t="s">
        <v>276</v>
      </c>
      <c r="BA18" s="26" t="s">
        <v>121</v>
      </c>
      <c r="BB18" s="26" t="s">
        <v>121</v>
      </c>
      <c r="BC18" s="26" t="s">
        <v>121</v>
      </c>
      <c r="BD18" s="26" t="s">
        <v>121</v>
      </c>
      <c r="BE18" s="26" t="s">
        <v>121</v>
      </c>
      <c r="BF18" s="26" t="s">
        <v>121</v>
      </c>
      <c r="BG18" s="26" t="s">
        <v>121</v>
      </c>
      <c r="BH18" s="26" t="s">
        <v>121</v>
      </c>
      <c r="BI18" s="26" t="s">
        <v>121</v>
      </c>
      <c r="BJ18" s="26" t="s">
        <v>121</v>
      </c>
      <c r="BK18" s="26">
        <v>185</v>
      </c>
      <c r="BL18" s="26">
        <v>185</v>
      </c>
      <c r="BM18" s="26">
        <v>185</v>
      </c>
      <c r="BN18" s="26">
        <v>600</v>
      </c>
      <c r="BO18" s="26">
        <v>600</v>
      </c>
      <c r="BP18" s="26">
        <v>600</v>
      </c>
      <c r="BQ18" s="26" t="s">
        <v>80</v>
      </c>
      <c r="BR18" s="26" t="s">
        <v>80</v>
      </c>
      <c r="BS18" s="26" t="s">
        <v>80</v>
      </c>
      <c r="BT18" s="30" t="s">
        <v>81</v>
      </c>
      <c r="BU18" s="30" t="s">
        <v>81</v>
      </c>
      <c r="BV18" s="30" t="s">
        <v>81</v>
      </c>
      <c r="BW18" s="26" t="s">
        <v>81</v>
      </c>
      <c r="BX18" s="26" t="s">
        <v>81</v>
      </c>
      <c r="BY18" s="26" t="s">
        <v>81</v>
      </c>
      <c r="BZ18" s="26" t="s">
        <v>81</v>
      </c>
      <c r="CA18" s="31" t="s">
        <v>246</v>
      </c>
      <c r="CB18" s="31" t="s">
        <v>92</v>
      </c>
      <c r="CC18" s="31" t="s">
        <v>92</v>
      </c>
      <c r="CD18" s="26">
        <v>135</v>
      </c>
      <c r="CE18" s="26">
        <v>135</v>
      </c>
      <c r="CF18" s="26">
        <v>135</v>
      </c>
      <c r="CG18" s="26">
        <v>488</v>
      </c>
      <c r="CH18" s="26">
        <v>488</v>
      </c>
      <c r="CI18" s="26">
        <v>488</v>
      </c>
      <c r="CJ18" s="26">
        <v>488</v>
      </c>
      <c r="CK18" s="26" t="s">
        <v>81</v>
      </c>
      <c r="CL18" s="26" t="s">
        <v>81</v>
      </c>
      <c r="CM18" s="26" t="s">
        <v>122</v>
      </c>
      <c r="CN18" s="26" t="s">
        <v>123</v>
      </c>
      <c r="CO18" s="26" t="s">
        <v>123</v>
      </c>
      <c r="CP18" s="26" t="s">
        <v>123</v>
      </c>
      <c r="CQ18" s="26" t="s">
        <v>123</v>
      </c>
      <c r="CR18" s="26" t="s">
        <v>123</v>
      </c>
      <c r="CS18" s="26" t="s">
        <v>123</v>
      </c>
      <c r="CT18" s="26">
        <v>2.0089999999999999</v>
      </c>
      <c r="CU18" s="26" t="s">
        <v>124</v>
      </c>
      <c r="CV18" s="26" t="s">
        <v>124</v>
      </c>
      <c r="CW18" s="26" t="s">
        <v>124</v>
      </c>
      <c r="CX18" s="26" t="s">
        <v>124</v>
      </c>
      <c r="CY18" s="26" t="s">
        <v>124</v>
      </c>
      <c r="CZ18" s="26" t="s">
        <v>124</v>
      </c>
      <c r="DA18" s="26" t="s">
        <v>81</v>
      </c>
      <c r="DB18" s="26"/>
      <c r="DC18" s="26"/>
      <c r="DD18" s="26"/>
      <c r="DE18" s="26"/>
      <c r="DF18" s="26" t="s">
        <v>81</v>
      </c>
      <c r="DG18" s="26"/>
      <c r="DH18" s="26"/>
      <c r="DI18" s="26"/>
      <c r="DJ18" s="26" t="s">
        <v>81</v>
      </c>
      <c r="DK18" s="26"/>
      <c r="DL18" s="26"/>
      <c r="DM18" s="26"/>
      <c r="DN18" s="26" t="s">
        <v>81</v>
      </c>
      <c r="DO18" s="26"/>
      <c r="DP18" s="26"/>
      <c r="DQ18" s="26"/>
      <c r="DR18" s="26"/>
      <c r="DS18" s="27"/>
      <c r="DT18" s="14">
        <v>13</v>
      </c>
    </row>
    <row r="19" spans="2:124" customFormat="1" ht="15" customHeight="1">
      <c r="B19" s="28">
        <v>4784</v>
      </c>
      <c r="C19" s="29" t="s">
        <v>73</v>
      </c>
      <c r="D19" s="29" t="s">
        <v>73</v>
      </c>
      <c r="E19" s="29" t="s">
        <v>73</v>
      </c>
      <c r="F19" s="29" t="s">
        <v>73</v>
      </c>
      <c r="G19" s="29" t="s">
        <v>73</v>
      </c>
      <c r="H19" s="26" t="s">
        <v>102</v>
      </c>
      <c r="I19" s="26" t="s">
        <v>102</v>
      </c>
      <c r="J19" s="26" t="s">
        <v>102</v>
      </c>
      <c r="K19" s="26" t="s">
        <v>102</v>
      </c>
      <c r="L19" s="26" t="s">
        <v>102</v>
      </c>
      <c r="M19" s="26" t="s">
        <v>86</v>
      </c>
      <c r="N19" s="26" t="s">
        <v>86</v>
      </c>
      <c r="O19" s="26" t="s">
        <v>86</v>
      </c>
      <c r="P19" s="26" t="s">
        <v>86</v>
      </c>
      <c r="Q19" s="26">
        <v>40</v>
      </c>
      <c r="R19" s="26" t="s">
        <v>76</v>
      </c>
      <c r="S19" s="26" t="s">
        <v>76</v>
      </c>
      <c r="T19" s="26" t="s">
        <v>76</v>
      </c>
      <c r="U19" s="26" t="s">
        <v>65</v>
      </c>
      <c r="V19" s="26" t="s">
        <v>65</v>
      </c>
      <c r="W19" s="26" t="s">
        <v>65</v>
      </c>
      <c r="X19" s="26" t="s">
        <v>65</v>
      </c>
      <c r="Y19" s="26" t="s">
        <v>65</v>
      </c>
      <c r="Z19" s="26" t="s">
        <v>65</v>
      </c>
      <c r="AA19" s="26" t="s">
        <v>65</v>
      </c>
      <c r="AB19" s="29" t="s">
        <v>261</v>
      </c>
      <c r="AC19" s="29" t="s">
        <v>77</v>
      </c>
      <c r="AD19" s="29" t="s">
        <v>77</v>
      </c>
      <c r="AE19" s="29" t="s">
        <v>77</v>
      </c>
      <c r="AF19" s="29" t="s">
        <v>77</v>
      </c>
      <c r="AG19" s="29" t="s">
        <v>77</v>
      </c>
      <c r="AH19" s="29" t="s">
        <v>77</v>
      </c>
      <c r="AI19" s="29" t="s">
        <v>77</v>
      </c>
      <c r="AJ19" s="29" t="s">
        <v>77</v>
      </c>
      <c r="AK19" s="29" t="s">
        <v>77</v>
      </c>
      <c r="AL19" s="29" t="s">
        <v>77</v>
      </c>
      <c r="AM19" s="29" t="s">
        <v>77</v>
      </c>
      <c r="AN19" s="29" t="s">
        <v>77</v>
      </c>
      <c r="AO19" s="26" t="s">
        <v>217</v>
      </c>
      <c r="AP19" s="26" t="s">
        <v>125</v>
      </c>
      <c r="AQ19" s="26" t="s">
        <v>125</v>
      </c>
      <c r="AR19" s="26" t="s">
        <v>125</v>
      </c>
      <c r="AS19" s="26" t="s">
        <v>125</v>
      </c>
      <c r="AT19" s="26" t="s">
        <v>125</v>
      </c>
      <c r="AU19" s="26" t="s">
        <v>125</v>
      </c>
      <c r="AV19" s="26" t="s">
        <v>125</v>
      </c>
      <c r="AW19" s="26" t="s">
        <v>125</v>
      </c>
      <c r="AX19" s="26" t="s">
        <v>125</v>
      </c>
      <c r="AY19" s="26" t="s">
        <v>125</v>
      </c>
      <c r="AZ19" s="26" t="s">
        <v>236</v>
      </c>
      <c r="BA19" s="26" t="s">
        <v>126</v>
      </c>
      <c r="BB19" s="26" t="s">
        <v>126</v>
      </c>
      <c r="BC19" s="26" t="s">
        <v>126</v>
      </c>
      <c r="BD19" s="26" t="s">
        <v>126</v>
      </c>
      <c r="BE19" s="26" t="s">
        <v>126</v>
      </c>
      <c r="BF19" s="26" t="s">
        <v>126</v>
      </c>
      <c r="BG19" s="26" t="s">
        <v>126</v>
      </c>
      <c r="BH19" s="26" t="s">
        <v>126</v>
      </c>
      <c r="BI19" s="26" t="s">
        <v>126</v>
      </c>
      <c r="BJ19" s="26" t="s">
        <v>126</v>
      </c>
      <c r="BK19" s="26">
        <v>185</v>
      </c>
      <c r="BL19" s="26">
        <v>185</v>
      </c>
      <c r="BM19" s="26">
        <v>185</v>
      </c>
      <c r="BN19" s="26">
        <v>600</v>
      </c>
      <c r="BO19" s="26">
        <v>600</v>
      </c>
      <c r="BP19" s="26">
        <v>600</v>
      </c>
      <c r="BQ19" s="26" t="s">
        <v>71</v>
      </c>
      <c r="BR19" s="26" t="s">
        <v>71</v>
      </c>
      <c r="BS19" s="26" t="s">
        <v>71</v>
      </c>
      <c r="BT19" s="26" t="s">
        <v>81</v>
      </c>
      <c r="BU19" s="26" t="s">
        <v>81</v>
      </c>
      <c r="BV19" s="26" t="s">
        <v>81</v>
      </c>
      <c r="BW19" s="26" t="s">
        <v>68</v>
      </c>
      <c r="BX19" s="26" t="s">
        <v>68</v>
      </c>
      <c r="BY19" s="26" t="s">
        <v>68</v>
      </c>
      <c r="BZ19" s="26" t="s">
        <v>68</v>
      </c>
      <c r="CA19" s="26" t="s">
        <v>68</v>
      </c>
      <c r="CB19" s="26" t="s">
        <v>68</v>
      </c>
      <c r="CC19" s="26" t="s">
        <v>68</v>
      </c>
      <c r="CD19" s="26">
        <v>135</v>
      </c>
      <c r="CE19" s="26">
        <v>135</v>
      </c>
      <c r="CF19" s="26">
        <v>135</v>
      </c>
      <c r="CG19" s="26">
        <v>474</v>
      </c>
      <c r="CH19" s="26">
        <v>474</v>
      </c>
      <c r="CI19" s="26">
        <v>474</v>
      </c>
      <c r="CJ19" s="26">
        <v>474</v>
      </c>
      <c r="CK19" s="26" t="s">
        <v>68</v>
      </c>
      <c r="CL19" s="26" t="s">
        <v>68</v>
      </c>
      <c r="CM19" s="26" t="s">
        <v>127</v>
      </c>
      <c r="CN19" s="26" t="s">
        <v>128</v>
      </c>
      <c r="CO19" s="26" t="s">
        <v>128</v>
      </c>
      <c r="CP19" s="26" t="s">
        <v>128</v>
      </c>
      <c r="CQ19" s="26" t="s">
        <v>128</v>
      </c>
      <c r="CR19" s="26" t="s">
        <v>128</v>
      </c>
      <c r="CS19" s="26" t="s">
        <v>128</v>
      </c>
      <c r="CT19" s="26" t="s">
        <v>129</v>
      </c>
      <c r="CU19" s="26" t="s">
        <v>129</v>
      </c>
      <c r="CV19" s="26" t="s">
        <v>129</v>
      </c>
      <c r="CW19" s="26" t="s">
        <v>129</v>
      </c>
      <c r="CX19" s="26" t="s">
        <v>129</v>
      </c>
      <c r="CY19" s="26" t="s">
        <v>129</v>
      </c>
      <c r="CZ19" s="26" t="s">
        <v>129</v>
      </c>
      <c r="DA19" s="26" t="s">
        <v>81</v>
      </c>
      <c r="DB19" s="26"/>
      <c r="DC19" s="26"/>
      <c r="DD19" s="26"/>
      <c r="DE19" s="26"/>
      <c r="DF19" s="26" t="s">
        <v>81</v>
      </c>
      <c r="DG19" s="26"/>
      <c r="DH19" s="26"/>
      <c r="DI19" s="26"/>
      <c r="DJ19" s="26" t="s">
        <v>81</v>
      </c>
      <c r="DK19" s="26"/>
      <c r="DL19" s="26"/>
      <c r="DM19" s="26"/>
      <c r="DN19" s="26" t="s">
        <v>81</v>
      </c>
      <c r="DO19" s="26"/>
      <c r="DP19" s="26"/>
      <c r="DQ19" s="26"/>
      <c r="DR19" s="26"/>
      <c r="DS19" s="27"/>
      <c r="DT19" s="14">
        <v>14</v>
      </c>
    </row>
    <row r="20" spans="2:124" customFormat="1" ht="15" customHeight="1">
      <c r="B20" s="28">
        <v>4785</v>
      </c>
      <c r="C20" s="29" t="s">
        <v>73</v>
      </c>
      <c r="D20" s="29" t="s">
        <v>73</v>
      </c>
      <c r="E20" s="29" t="s">
        <v>73</v>
      </c>
      <c r="F20" s="29" t="s">
        <v>73</v>
      </c>
      <c r="G20" s="29" t="s">
        <v>73</v>
      </c>
      <c r="H20" s="26" t="s">
        <v>130</v>
      </c>
      <c r="I20" s="26" t="s">
        <v>130</v>
      </c>
      <c r="J20" s="26" t="s">
        <v>130</v>
      </c>
      <c r="K20" s="26" t="s">
        <v>130</v>
      </c>
      <c r="L20" s="26" t="s">
        <v>130</v>
      </c>
      <c r="M20" s="26" t="s">
        <v>86</v>
      </c>
      <c r="N20" s="26" t="s">
        <v>86</v>
      </c>
      <c r="O20" s="26" t="s">
        <v>86</v>
      </c>
      <c r="P20" s="26" t="s">
        <v>86</v>
      </c>
      <c r="Q20" s="26">
        <v>40</v>
      </c>
      <c r="R20" s="26">
        <v>80</v>
      </c>
      <c r="S20" s="26">
        <v>80</v>
      </c>
      <c r="T20" s="26">
        <v>80</v>
      </c>
      <c r="U20" s="26" t="s">
        <v>65</v>
      </c>
      <c r="V20" s="26" t="s">
        <v>65</v>
      </c>
      <c r="W20" s="26" t="s">
        <v>65</v>
      </c>
      <c r="X20" s="26" t="s">
        <v>65</v>
      </c>
      <c r="Y20" s="26" t="s">
        <v>65</v>
      </c>
      <c r="Z20" s="26" t="s">
        <v>65</v>
      </c>
      <c r="AA20" s="26" t="s">
        <v>65</v>
      </c>
      <c r="AB20" s="29" t="s">
        <v>261</v>
      </c>
      <c r="AC20" s="29" t="s">
        <v>77</v>
      </c>
      <c r="AD20" s="29" t="s">
        <v>77</v>
      </c>
      <c r="AE20" s="29" t="s">
        <v>77</v>
      </c>
      <c r="AF20" s="29" t="s">
        <v>77</v>
      </c>
      <c r="AG20" s="29" t="s">
        <v>77</v>
      </c>
      <c r="AH20" s="29" t="s">
        <v>77</v>
      </c>
      <c r="AI20" s="29" t="s">
        <v>77</v>
      </c>
      <c r="AJ20" s="29" t="s">
        <v>77</v>
      </c>
      <c r="AK20" s="29" t="s">
        <v>77</v>
      </c>
      <c r="AL20" s="29" t="s">
        <v>77</v>
      </c>
      <c r="AM20" s="29" t="s">
        <v>77</v>
      </c>
      <c r="AN20" s="29" t="s">
        <v>77</v>
      </c>
      <c r="AO20" s="26" t="s">
        <v>217</v>
      </c>
      <c r="AP20" s="26" t="s">
        <v>125</v>
      </c>
      <c r="AQ20" s="26" t="s">
        <v>125</v>
      </c>
      <c r="AR20" s="26" t="s">
        <v>125</v>
      </c>
      <c r="AS20" s="26" t="s">
        <v>125</v>
      </c>
      <c r="AT20" s="26" t="s">
        <v>125</v>
      </c>
      <c r="AU20" s="26" t="s">
        <v>125</v>
      </c>
      <c r="AV20" s="26" t="s">
        <v>125</v>
      </c>
      <c r="AW20" s="26" t="s">
        <v>125</v>
      </c>
      <c r="AX20" s="26" t="s">
        <v>125</v>
      </c>
      <c r="AY20" s="26" t="s">
        <v>125</v>
      </c>
      <c r="AZ20" s="26" t="s">
        <v>274</v>
      </c>
      <c r="BA20" s="26" t="s">
        <v>131</v>
      </c>
      <c r="BB20" s="26" t="s">
        <v>131</v>
      </c>
      <c r="BC20" s="26" t="s">
        <v>131</v>
      </c>
      <c r="BD20" s="26" t="s">
        <v>131</v>
      </c>
      <c r="BE20" s="26" t="s">
        <v>131</v>
      </c>
      <c r="BF20" s="26" t="s">
        <v>131</v>
      </c>
      <c r="BG20" s="26" t="s">
        <v>131</v>
      </c>
      <c r="BH20" s="26" t="s">
        <v>131</v>
      </c>
      <c r="BI20" s="26" t="s">
        <v>131</v>
      </c>
      <c r="BJ20" s="26" t="s">
        <v>131</v>
      </c>
      <c r="BK20" s="26">
        <v>185</v>
      </c>
      <c r="BL20" s="26">
        <v>185</v>
      </c>
      <c r="BM20" s="26">
        <v>185</v>
      </c>
      <c r="BN20" s="26">
        <v>600</v>
      </c>
      <c r="BO20" s="26">
        <v>600</v>
      </c>
      <c r="BP20" s="26">
        <v>600</v>
      </c>
      <c r="BQ20" s="26" t="s">
        <v>80</v>
      </c>
      <c r="BR20" s="26" t="s">
        <v>80</v>
      </c>
      <c r="BS20" s="26" t="s">
        <v>80</v>
      </c>
      <c r="BT20" s="26" t="s">
        <v>132</v>
      </c>
      <c r="BU20" s="26" t="s">
        <v>132</v>
      </c>
      <c r="BV20" s="26" t="s">
        <v>132</v>
      </c>
      <c r="BW20" s="26" t="s">
        <v>68</v>
      </c>
      <c r="BX20" s="26" t="s">
        <v>68</v>
      </c>
      <c r="BY20" s="26" t="s">
        <v>68</v>
      </c>
      <c r="BZ20" s="26" t="s">
        <v>68</v>
      </c>
      <c r="CA20" s="31" t="s">
        <v>68</v>
      </c>
      <c r="CB20" s="31" t="s">
        <v>68</v>
      </c>
      <c r="CC20" s="31" t="s">
        <v>68</v>
      </c>
      <c r="CD20" s="26">
        <v>135</v>
      </c>
      <c r="CE20" s="26">
        <v>135</v>
      </c>
      <c r="CF20" s="26">
        <v>135</v>
      </c>
      <c r="CG20" s="26">
        <v>474</v>
      </c>
      <c r="CH20" s="26">
        <v>474</v>
      </c>
      <c r="CI20" s="26">
        <v>474</v>
      </c>
      <c r="CJ20" s="26">
        <v>474</v>
      </c>
      <c r="CK20" s="26" t="s">
        <v>68</v>
      </c>
      <c r="CL20" s="26" t="s">
        <v>68</v>
      </c>
      <c r="CM20" s="26" t="s">
        <v>122</v>
      </c>
      <c r="CN20" s="26" t="s">
        <v>123</v>
      </c>
      <c r="CO20" s="26" t="s">
        <v>123</v>
      </c>
      <c r="CP20" s="26" t="s">
        <v>123</v>
      </c>
      <c r="CQ20" s="26" t="s">
        <v>123</v>
      </c>
      <c r="CR20" s="26" t="s">
        <v>123</v>
      </c>
      <c r="CS20" s="26" t="s">
        <v>123</v>
      </c>
      <c r="CT20" s="26">
        <v>2.0089999999999999</v>
      </c>
      <c r="CU20" s="26" t="s">
        <v>124</v>
      </c>
      <c r="CV20" s="26" t="s">
        <v>124</v>
      </c>
      <c r="CW20" s="26" t="s">
        <v>124</v>
      </c>
      <c r="CX20" s="26" t="s">
        <v>124</v>
      </c>
      <c r="CY20" s="26" t="s">
        <v>124</v>
      </c>
      <c r="CZ20" s="26" t="s">
        <v>124</v>
      </c>
      <c r="DA20" s="26" t="s">
        <v>81</v>
      </c>
      <c r="DB20" s="26"/>
      <c r="DC20" s="26"/>
      <c r="DD20" s="26"/>
      <c r="DE20" s="26"/>
      <c r="DF20" s="26" t="s">
        <v>81</v>
      </c>
      <c r="DG20" s="26"/>
      <c r="DH20" s="26"/>
      <c r="DI20" s="26"/>
      <c r="DJ20" s="26" t="s">
        <v>81</v>
      </c>
      <c r="DK20" s="26"/>
      <c r="DL20" s="26"/>
      <c r="DM20" s="26"/>
      <c r="DN20" s="26" t="s">
        <v>81</v>
      </c>
      <c r="DO20" s="26"/>
      <c r="DP20" s="26"/>
      <c r="DQ20" s="26"/>
      <c r="DR20" s="26"/>
      <c r="DS20" s="27"/>
      <c r="DT20" s="14">
        <v>15</v>
      </c>
    </row>
    <row r="21" spans="2:124" customFormat="1" ht="15" customHeight="1">
      <c r="B21" s="28">
        <v>4786</v>
      </c>
      <c r="C21" s="29" t="s">
        <v>73</v>
      </c>
      <c r="D21" s="29" t="s">
        <v>73</v>
      </c>
      <c r="E21" s="29" t="s">
        <v>73</v>
      </c>
      <c r="F21" s="29" t="s">
        <v>73</v>
      </c>
      <c r="G21" s="29" t="s">
        <v>73</v>
      </c>
      <c r="H21" s="26" t="s">
        <v>133</v>
      </c>
      <c r="I21" s="26" t="s">
        <v>133</v>
      </c>
      <c r="J21" s="26" t="s">
        <v>133</v>
      </c>
      <c r="K21" s="26" t="s">
        <v>133</v>
      </c>
      <c r="L21" s="26" t="s">
        <v>133</v>
      </c>
      <c r="M21" s="26" t="s">
        <v>86</v>
      </c>
      <c r="N21" s="26" t="s">
        <v>86</v>
      </c>
      <c r="O21" s="26" t="s">
        <v>86</v>
      </c>
      <c r="P21" s="26" t="s">
        <v>86</v>
      </c>
      <c r="Q21" s="26">
        <v>40</v>
      </c>
      <c r="R21" s="26">
        <v>40</v>
      </c>
      <c r="S21" s="26">
        <v>40</v>
      </c>
      <c r="T21" s="26">
        <v>40</v>
      </c>
      <c r="U21" s="26" t="s">
        <v>65</v>
      </c>
      <c r="V21" s="26" t="s">
        <v>65</v>
      </c>
      <c r="W21" s="26" t="s">
        <v>65</v>
      </c>
      <c r="X21" s="26" t="s">
        <v>65</v>
      </c>
      <c r="Y21" s="26" t="s">
        <v>65</v>
      </c>
      <c r="Z21" s="26" t="s">
        <v>65</v>
      </c>
      <c r="AA21" s="26" t="s">
        <v>65</v>
      </c>
      <c r="AB21" s="29" t="s">
        <v>261</v>
      </c>
      <c r="AC21" s="29" t="s">
        <v>77</v>
      </c>
      <c r="AD21" s="29" t="s">
        <v>77</v>
      </c>
      <c r="AE21" s="29" t="s">
        <v>77</v>
      </c>
      <c r="AF21" s="29" t="s">
        <v>77</v>
      </c>
      <c r="AG21" s="29" t="s">
        <v>77</v>
      </c>
      <c r="AH21" s="29" t="s">
        <v>77</v>
      </c>
      <c r="AI21" s="29" t="s">
        <v>77</v>
      </c>
      <c r="AJ21" s="29" t="s">
        <v>77</v>
      </c>
      <c r="AK21" s="29" t="s">
        <v>77</v>
      </c>
      <c r="AL21" s="29" t="s">
        <v>77</v>
      </c>
      <c r="AM21" s="29" t="s">
        <v>77</v>
      </c>
      <c r="AN21" s="29" t="s">
        <v>77</v>
      </c>
      <c r="AO21" s="26" t="s">
        <v>274</v>
      </c>
      <c r="AP21" s="26" t="s">
        <v>131</v>
      </c>
      <c r="AQ21" s="26" t="s">
        <v>131</v>
      </c>
      <c r="AR21" s="26" t="s">
        <v>131</v>
      </c>
      <c r="AS21" s="26" t="s">
        <v>131</v>
      </c>
      <c r="AT21" s="26" t="s">
        <v>131</v>
      </c>
      <c r="AU21" s="26" t="s">
        <v>131</v>
      </c>
      <c r="AV21" s="26" t="s">
        <v>131</v>
      </c>
      <c r="AW21" s="26" t="s">
        <v>131</v>
      </c>
      <c r="AX21" s="26" t="s">
        <v>131</v>
      </c>
      <c r="AY21" s="26" t="s">
        <v>131</v>
      </c>
      <c r="AZ21" s="26" t="s">
        <v>218</v>
      </c>
      <c r="BA21" s="26" t="s">
        <v>134</v>
      </c>
      <c r="BB21" s="26" t="s">
        <v>134</v>
      </c>
      <c r="BC21" s="26" t="s">
        <v>134</v>
      </c>
      <c r="BD21" s="26" t="s">
        <v>134</v>
      </c>
      <c r="BE21" s="26" t="s">
        <v>134</v>
      </c>
      <c r="BF21" s="26" t="s">
        <v>134</v>
      </c>
      <c r="BG21" s="26" t="s">
        <v>134</v>
      </c>
      <c r="BH21" s="26" t="s">
        <v>134</v>
      </c>
      <c r="BI21" s="26" t="s">
        <v>134</v>
      </c>
      <c r="BJ21" s="26" t="s">
        <v>134</v>
      </c>
      <c r="BK21" s="26">
        <v>200</v>
      </c>
      <c r="BL21" s="26">
        <v>200</v>
      </c>
      <c r="BM21" s="26">
        <v>200</v>
      </c>
      <c r="BN21" s="26">
        <v>300</v>
      </c>
      <c r="BO21" s="26">
        <v>300</v>
      </c>
      <c r="BP21" s="26">
        <v>300</v>
      </c>
      <c r="BQ21" s="26" t="s">
        <v>80</v>
      </c>
      <c r="BR21" s="26" t="s">
        <v>80</v>
      </c>
      <c r="BS21" s="26" t="s">
        <v>80</v>
      </c>
      <c r="BT21" s="26" t="s">
        <v>135</v>
      </c>
      <c r="BU21" s="26" t="s">
        <v>135</v>
      </c>
      <c r="BV21" s="26" t="s">
        <v>135</v>
      </c>
      <c r="BW21" s="26" t="s">
        <v>68</v>
      </c>
      <c r="BX21" s="26" t="s">
        <v>68</v>
      </c>
      <c r="BY21" s="26" t="s">
        <v>68</v>
      </c>
      <c r="BZ21" s="26" t="s">
        <v>68</v>
      </c>
      <c r="CA21" s="31" t="s">
        <v>68</v>
      </c>
      <c r="CB21" s="31" t="s">
        <v>68</v>
      </c>
      <c r="CC21" s="31" t="s">
        <v>68</v>
      </c>
      <c r="CD21" s="26">
        <v>135</v>
      </c>
      <c r="CE21" s="26">
        <v>135</v>
      </c>
      <c r="CF21" s="26">
        <v>135</v>
      </c>
      <c r="CG21" s="26">
        <v>140</v>
      </c>
      <c r="CH21" s="26">
        <v>140</v>
      </c>
      <c r="CI21" s="26">
        <v>140</v>
      </c>
      <c r="CJ21" s="26">
        <v>140</v>
      </c>
      <c r="CK21" s="26" t="s">
        <v>68</v>
      </c>
      <c r="CL21" s="26" t="s">
        <v>68</v>
      </c>
      <c r="CM21" s="26" t="s">
        <v>122</v>
      </c>
      <c r="CN21" s="26" t="s">
        <v>123</v>
      </c>
      <c r="CO21" s="26" t="s">
        <v>123</v>
      </c>
      <c r="CP21" s="26" t="s">
        <v>123</v>
      </c>
      <c r="CQ21" s="26" t="s">
        <v>123</v>
      </c>
      <c r="CR21" s="26" t="s">
        <v>123</v>
      </c>
      <c r="CS21" s="26" t="s">
        <v>123</v>
      </c>
      <c r="CT21" s="26">
        <v>2.0089999999999999</v>
      </c>
      <c r="CU21" s="26" t="s">
        <v>124</v>
      </c>
      <c r="CV21" s="26" t="s">
        <v>124</v>
      </c>
      <c r="CW21" s="26" t="s">
        <v>124</v>
      </c>
      <c r="CX21" s="26" t="s">
        <v>124</v>
      </c>
      <c r="CY21" s="26" t="s">
        <v>124</v>
      </c>
      <c r="CZ21" s="26" t="s">
        <v>124</v>
      </c>
      <c r="DA21" s="26" t="s">
        <v>81</v>
      </c>
      <c r="DB21" s="26"/>
      <c r="DC21" s="26"/>
      <c r="DD21" s="26"/>
      <c r="DE21" s="26"/>
      <c r="DF21" s="26" t="s">
        <v>81</v>
      </c>
      <c r="DG21" s="26"/>
      <c r="DH21" s="26"/>
      <c r="DI21" s="26"/>
      <c r="DJ21" s="26" t="s">
        <v>81</v>
      </c>
      <c r="DK21" s="26"/>
      <c r="DL21" s="26"/>
      <c r="DM21" s="26"/>
      <c r="DN21" s="26" t="s">
        <v>81</v>
      </c>
      <c r="DO21" s="26"/>
      <c r="DP21" s="26"/>
      <c r="DQ21" s="26"/>
      <c r="DR21" s="26"/>
      <c r="DS21" s="27"/>
      <c r="DT21" s="14">
        <v>16</v>
      </c>
    </row>
    <row r="22" spans="2:124" customFormat="1" ht="15" customHeight="1">
      <c r="B22" s="28">
        <v>4787</v>
      </c>
      <c r="C22" s="29" t="s">
        <v>73</v>
      </c>
      <c r="D22" s="29" t="s">
        <v>73</v>
      </c>
      <c r="E22" s="29" t="s">
        <v>73</v>
      </c>
      <c r="F22" s="29" t="s">
        <v>73</v>
      </c>
      <c r="G22" s="29" t="s">
        <v>73</v>
      </c>
      <c r="H22" s="31" t="s">
        <v>152</v>
      </c>
      <c r="I22" s="31" t="s">
        <v>152</v>
      </c>
      <c r="J22" s="31" t="s">
        <v>152</v>
      </c>
      <c r="K22" s="31" t="s">
        <v>152</v>
      </c>
      <c r="L22" s="31" t="s">
        <v>152</v>
      </c>
      <c r="M22" s="26" t="s">
        <v>86</v>
      </c>
      <c r="N22" s="26" t="s">
        <v>86</v>
      </c>
      <c r="O22" s="26" t="s">
        <v>86</v>
      </c>
      <c r="P22" s="26" t="s">
        <v>86</v>
      </c>
      <c r="Q22" s="26">
        <v>40</v>
      </c>
      <c r="R22" s="26">
        <v>40</v>
      </c>
      <c r="S22" s="26">
        <v>40</v>
      </c>
      <c r="T22" s="26">
        <v>40</v>
      </c>
      <c r="U22" s="26" t="s">
        <v>65</v>
      </c>
      <c r="V22" s="26" t="s">
        <v>65</v>
      </c>
      <c r="W22" s="26" t="s">
        <v>65</v>
      </c>
      <c r="X22" s="26" t="s">
        <v>65</v>
      </c>
      <c r="Y22" s="26" t="s">
        <v>65</v>
      </c>
      <c r="Z22" s="26" t="s">
        <v>65</v>
      </c>
      <c r="AA22" s="26" t="s">
        <v>65</v>
      </c>
      <c r="AB22" s="29" t="s">
        <v>261</v>
      </c>
      <c r="AC22" s="29" t="s">
        <v>77</v>
      </c>
      <c r="AD22" s="29" t="s">
        <v>77</v>
      </c>
      <c r="AE22" s="29" t="s">
        <v>77</v>
      </c>
      <c r="AF22" s="29" t="s">
        <v>77</v>
      </c>
      <c r="AG22" s="29" t="s">
        <v>77</v>
      </c>
      <c r="AH22" s="29" t="s">
        <v>77</v>
      </c>
      <c r="AI22" s="29" t="s">
        <v>77</v>
      </c>
      <c r="AJ22" s="29" t="s">
        <v>77</v>
      </c>
      <c r="AK22" s="29" t="s">
        <v>77</v>
      </c>
      <c r="AL22" s="29" t="s">
        <v>77</v>
      </c>
      <c r="AM22" s="29" t="s">
        <v>77</v>
      </c>
      <c r="AN22" s="29" t="s">
        <v>77</v>
      </c>
      <c r="AO22" s="26" t="s">
        <v>276</v>
      </c>
      <c r="AP22" s="26" t="s">
        <v>121</v>
      </c>
      <c r="AQ22" s="26" t="s">
        <v>121</v>
      </c>
      <c r="AR22" s="26" t="s">
        <v>121</v>
      </c>
      <c r="AS22" s="26" t="s">
        <v>121</v>
      </c>
      <c r="AT22" s="26" t="s">
        <v>121</v>
      </c>
      <c r="AU22" s="26" t="s">
        <v>121</v>
      </c>
      <c r="AV22" s="26" t="s">
        <v>121</v>
      </c>
      <c r="AW22" s="26" t="s">
        <v>121</v>
      </c>
      <c r="AX22" s="26" t="s">
        <v>121</v>
      </c>
      <c r="AY22" s="26" t="s">
        <v>121</v>
      </c>
      <c r="AZ22" s="26" t="s">
        <v>219</v>
      </c>
      <c r="BA22" s="26" t="s">
        <v>153</v>
      </c>
      <c r="BB22" s="26" t="s">
        <v>153</v>
      </c>
      <c r="BC22" s="26" t="s">
        <v>153</v>
      </c>
      <c r="BD22" s="26" t="s">
        <v>153</v>
      </c>
      <c r="BE22" s="26" t="s">
        <v>153</v>
      </c>
      <c r="BF22" s="26" t="s">
        <v>153</v>
      </c>
      <c r="BG22" s="26" t="s">
        <v>153</v>
      </c>
      <c r="BH22" s="26" t="s">
        <v>153</v>
      </c>
      <c r="BI22" s="26" t="s">
        <v>153</v>
      </c>
      <c r="BJ22" s="26" t="s">
        <v>153</v>
      </c>
      <c r="BK22" s="26">
        <v>200</v>
      </c>
      <c r="BL22" s="26">
        <v>200</v>
      </c>
      <c r="BM22" s="26">
        <v>200</v>
      </c>
      <c r="BN22" s="26">
        <v>600</v>
      </c>
      <c r="BO22" s="26">
        <v>600</v>
      </c>
      <c r="BP22" s="26">
        <v>600</v>
      </c>
      <c r="BQ22" s="26" t="s">
        <v>71</v>
      </c>
      <c r="BR22" s="26" t="s">
        <v>71</v>
      </c>
      <c r="BS22" s="26" t="s">
        <v>71</v>
      </c>
      <c r="BT22" s="26" t="s">
        <v>81</v>
      </c>
      <c r="BU22" s="26" t="s">
        <v>81</v>
      </c>
      <c r="BV22" s="26" t="s">
        <v>81</v>
      </c>
      <c r="BW22" s="26" t="s">
        <v>81</v>
      </c>
      <c r="BX22" s="26" t="s">
        <v>81</v>
      </c>
      <c r="BY22" s="26" t="s">
        <v>81</v>
      </c>
      <c r="BZ22" s="26" t="s">
        <v>81</v>
      </c>
      <c r="CA22" s="31" t="s">
        <v>248</v>
      </c>
      <c r="CB22" s="31" t="s">
        <v>154</v>
      </c>
      <c r="CC22" s="31" t="s">
        <v>154</v>
      </c>
      <c r="CD22" s="26">
        <v>144</v>
      </c>
      <c r="CE22" s="26">
        <v>135</v>
      </c>
      <c r="CF22" s="26">
        <v>135</v>
      </c>
      <c r="CG22" s="26">
        <v>465</v>
      </c>
      <c r="CH22" s="26">
        <v>482.7</v>
      </c>
      <c r="CI22" s="26">
        <v>482.7</v>
      </c>
      <c r="CJ22" s="26">
        <v>482.7</v>
      </c>
      <c r="CK22" s="26" t="s">
        <v>81</v>
      </c>
      <c r="CL22" s="26" t="s">
        <v>81</v>
      </c>
      <c r="CM22" s="26" t="s">
        <v>122</v>
      </c>
      <c r="CN22" s="26" t="s">
        <v>123</v>
      </c>
      <c r="CO22" s="26" t="s">
        <v>123</v>
      </c>
      <c r="CP22" s="26" t="s">
        <v>123</v>
      </c>
      <c r="CQ22" s="26" t="s">
        <v>123</v>
      </c>
      <c r="CR22" s="26" t="s">
        <v>123</v>
      </c>
      <c r="CS22" s="26" t="s">
        <v>123</v>
      </c>
      <c r="CT22" s="26">
        <v>1.93</v>
      </c>
      <c r="CU22" s="26" t="s">
        <v>139</v>
      </c>
      <c r="CV22" s="26" t="s">
        <v>139</v>
      </c>
      <c r="CW22" s="26" t="s">
        <v>139</v>
      </c>
      <c r="CX22" s="26" t="s">
        <v>139</v>
      </c>
      <c r="CY22" s="26" t="s">
        <v>139</v>
      </c>
      <c r="CZ22" s="26" t="s">
        <v>139</v>
      </c>
      <c r="DA22" s="26" t="s">
        <v>81</v>
      </c>
      <c r="DB22" s="26"/>
      <c r="DC22" s="26"/>
      <c r="DD22" s="26"/>
      <c r="DE22" s="26"/>
      <c r="DF22" s="26" t="s">
        <v>81</v>
      </c>
      <c r="DG22" s="26"/>
      <c r="DH22" s="26"/>
      <c r="DI22" s="26"/>
      <c r="DJ22" s="26" t="s">
        <v>81</v>
      </c>
      <c r="DK22" s="26"/>
      <c r="DL22" s="26"/>
      <c r="DM22" s="26"/>
      <c r="DN22" s="26" t="s">
        <v>81</v>
      </c>
      <c r="DO22" s="26"/>
      <c r="DP22" s="26"/>
      <c r="DQ22" s="26"/>
      <c r="DR22" s="26"/>
      <c r="DS22" s="27"/>
      <c r="DT22" s="14">
        <v>17</v>
      </c>
    </row>
    <row r="23" spans="2:124" customFormat="1" ht="15" customHeight="1">
      <c r="B23" s="28">
        <v>4788</v>
      </c>
      <c r="C23" s="29" t="s">
        <v>73</v>
      </c>
      <c r="D23" s="29" t="s">
        <v>73</v>
      </c>
      <c r="E23" s="29" t="s">
        <v>73</v>
      </c>
      <c r="F23" s="29" t="s">
        <v>73</v>
      </c>
      <c r="G23" s="29" t="s">
        <v>73</v>
      </c>
      <c r="H23" s="31" t="s">
        <v>152</v>
      </c>
      <c r="I23" s="31" t="s">
        <v>152</v>
      </c>
      <c r="J23" s="31" t="s">
        <v>152</v>
      </c>
      <c r="K23" s="31" t="s">
        <v>152</v>
      </c>
      <c r="L23" s="31" t="s">
        <v>152</v>
      </c>
      <c r="M23" s="31" t="s">
        <v>155</v>
      </c>
      <c r="N23" s="31" t="s">
        <v>155</v>
      </c>
      <c r="O23" s="31" t="s">
        <v>155</v>
      </c>
      <c r="P23" s="31" t="s">
        <v>155</v>
      </c>
      <c r="Q23" s="31" t="s">
        <v>156</v>
      </c>
      <c r="R23" s="31" t="s">
        <v>157</v>
      </c>
      <c r="S23" s="31" t="s">
        <v>157</v>
      </c>
      <c r="T23" s="31" t="s">
        <v>157</v>
      </c>
      <c r="U23" s="31" t="s">
        <v>65</v>
      </c>
      <c r="V23" s="31" t="s">
        <v>65</v>
      </c>
      <c r="W23" s="31" t="s">
        <v>65</v>
      </c>
      <c r="X23" s="31" t="s">
        <v>65</v>
      </c>
      <c r="Y23" s="31" t="s">
        <v>65</v>
      </c>
      <c r="Z23" s="31" t="s">
        <v>65</v>
      </c>
      <c r="AA23" s="31" t="s">
        <v>65</v>
      </c>
      <c r="AB23" s="29" t="s">
        <v>261</v>
      </c>
      <c r="AC23" s="29" t="s">
        <v>77</v>
      </c>
      <c r="AD23" s="29" t="s">
        <v>77</v>
      </c>
      <c r="AE23" s="29" t="s">
        <v>77</v>
      </c>
      <c r="AF23" s="29" t="s">
        <v>77</v>
      </c>
      <c r="AG23" s="29" t="s">
        <v>77</v>
      </c>
      <c r="AH23" s="29" t="s">
        <v>77</v>
      </c>
      <c r="AI23" s="29" t="s">
        <v>77</v>
      </c>
      <c r="AJ23" s="29" t="s">
        <v>77</v>
      </c>
      <c r="AK23" s="29" t="s">
        <v>77</v>
      </c>
      <c r="AL23" s="29" t="s">
        <v>77</v>
      </c>
      <c r="AM23" s="29" t="s">
        <v>77</v>
      </c>
      <c r="AN23" s="29" t="s">
        <v>77</v>
      </c>
      <c r="AO23" s="26" t="s">
        <v>220</v>
      </c>
      <c r="AP23" s="26" t="s">
        <v>138</v>
      </c>
      <c r="AQ23" s="26" t="s">
        <v>138</v>
      </c>
      <c r="AR23" s="26" t="s">
        <v>138</v>
      </c>
      <c r="AS23" s="26" t="s">
        <v>138</v>
      </c>
      <c r="AT23" s="26" t="s">
        <v>138</v>
      </c>
      <c r="AU23" s="26" t="s">
        <v>138</v>
      </c>
      <c r="AV23" s="26" t="s">
        <v>138</v>
      </c>
      <c r="AW23" s="26" t="s">
        <v>138</v>
      </c>
      <c r="AX23" s="26" t="s">
        <v>138</v>
      </c>
      <c r="AY23" s="26" t="s">
        <v>138</v>
      </c>
      <c r="AZ23" s="31" t="s">
        <v>275</v>
      </c>
      <c r="BA23" s="31" t="s">
        <v>158</v>
      </c>
      <c r="BB23" s="31" t="s">
        <v>158</v>
      </c>
      <c r="BC23" s="31" t="s">
        <v>158</v>
      </c>
      <c r="BD23" s="31" t="s">
        <v>158</v>
      </c>
      <c r="BE23" s="31" t="s">
        <v>158</v>
      </c>
      <c r="BF23" s="31" t="s">
        <v>158</v>
      </c>
      <c r="BG23" s="31" t="s">
        <v>158</v>
      </c>
      <c r="BH23" s="31" t="s">
        <v>158</v>
      </c>
      <c r="BI23" s="31" t="s">
        <v>158</v>
      </c>
      <c r="BJ23" s="31" t="s">
        <v>158</v>
      </c>
      <c r="BK23" s="31">
        <v>200</v>
      </c>
      <c r="BL23" s="31">
        <v>200</v>
      </c>
      <c r="BM23" s="31">
        <v>200</v>
      </c>
      <c r="BN23" s="31">
        <v>1030</v>
      </c>
      <c r="BO23" s="31">
        <v>1030</v>
      </c>
      <c r="BP23" s="31">
        <v>1030</v>
      </c>
      <c r="BQ23" s="26" t="s">
        <v>71</v>
      </c>
      <c r="BR23" s="26" t="s">
        <v>71</v>
      </c>
      <c r="BS23" s="26" t="s">
        <v>71</v>
      </c>
      <c r="BT23" s="31" t="s">
        <v>81</v>
      </c>
      <c r="BU23" s="31" t="s">
        <v>81</v>
      </c>
      <c r="BV23" s="31" t="s">
        <v>81</v>
      </c>
      <c r="BW23" s="31" t="s">
        <v>81</v>
      </c>
      <c r="BX23" s="31" t="s">
        <v>81</v>
      </c>
      <c r="BY23" s="31" t="s">
        <v>81</v>
      </c>
      <c r="BZ23" s="31" t="s">
        <v>81</v>
      </c>
      <c r="CA23" s="31" t="s">
        <v>248</v>
      </c>
      <c r="CB23" s="31" t="s">
        <v>154</v>
      </c>
      <c r="CC23" s="31" t="s">
        <v>154</v>
      </c>
      <c r="CD23" s="26">
        <v>144</v>
      </c>
      <c r="CE23" s="26">
        <v>135</v>
      </c>
      <c r="CF23" s="26">
        <v>135</v>
      </c>
      <c r="CG23" s="26">
        <v>465</v>
      </c>
      <c r="CH23" s="26">
        <v>482.7</v>
      </c>
      <c r="CI23" s="26">
        <v>482.7</v>
      </c>
      <c r="CJ23" s="26">
        <v>482.7</v>
      </c>
      <c r="CK23" s="31"/>
      <c r="CL23" s="31"/>
      <c r="CM23" s="31" t="s">
        <v>122</v>
      </c>
      <c r="CN23" s="31" t="s">
        <v>123</v>
      </c>
      <c r="CO23" s="31" t="s">
        <v>123</v>
      </c>
      <c r="CP23" s="31" t="s">
        <v>123</v>
      </c>
      <c r="CQ23" s="31" t="s">
        <v>123</v>
      </c>
      <c r="CR23" s="31" t="s">
        <v>123</v>
      </c>
      <c r="CS23" s="31" t="s">
        <v>123</v>
      </c>
      <c r="CT23" s="26">
        <v>1.93</v>
      </c>
      <c r="CU23" s="26" t="s">
        <v>139</v>
      </c>
      <c r="CV23" s="26" t="s">
        <v>139</v>
      </c>
      <c r="CW23" s="26" t="s">
        <v>139</v>
      </c>
      <c r="CX23" s="26" t="s">
        <v>139</v>
      </c>
      <c r="CY23" s="26" t="s">
        <v>139</v>
      </c>
      <c r="CZ23" s="26" t="s">
        <v>139</v>
      </c>
      <c r="DA23" s="26" t="s">
        <v>81</v>
      </c>
      <c r="DB23" s="26"/>
      <c r="DC23" s="26"/>
      <c r="DD23" s="26"/>
      <c r="DE23" s="26"/>
      <c r="DF23" s="26" t="s">
        <v>81</v>
      </c>
      <c r="DG23" s="26"/>
      <c r="DH23" s="26"/>
      <c r="DI23" s="26"/>
      <c r="DJ23" s="26" t="s">
        <v>81</v>
      </c>
      <c r="DK23" s="26"/>
      <c r="DL23" s="26"/>
      <c r="DM23" s="26"/>
      <c r="DN23" s="26" t="s">
        <v>81</v>
      </c>
      <c r="DO23" s="26"/>
      <c r="DP23" s="26"/>
      <c r="DQ23" s="26"/>
      <c r="DR23" s="26"/>
      <c r="DS23" s="27"/>
      <c r="DT23" s="14">
        <v>18</v>
      </c>
    </row>
    <row r="24" spans="2:124" customFormat="1" ht="15" customHeight="1">
      <c r="B24" s="34">
        <v>4789</v>
      </c>
      <c r="C24" s="24"/>
      <c r="D24" s="24"/>
      <c r="E24" s="24"/>
      <c r="F24" s="24"/>
      <c r="G24" s="25"/>
      <c r="H24" s="26" t="s">
        <v>109</v>
      </c>
      <c r="I24" s="26" t="s">
        <v>74</v>
      </c>
      <c r="J24" s="26" t="s">
        <v>74</v>
      </c>
      <c r="K24" s="26" t="s">
        <v>74</v>
      </c>
      <c r="L24" s="26" t="s">
        <v>74</v>
      </c>
      <c r="M24" s="26" t="s">
        <v>86</v>
      </c>
      <c r="N24" s="26" t="s">
        <v>86</v>
      </c>
      <c r="O24" s="26" t="s">
        <v>86</v>
      </c>
      <c r="P24" s="26" t="s">
        <v>86</v>
      </c>
      <c r="Q24" s="26">
        <v>40</v>
      </c>
      <c r="R24" s="26">
        <v>40</v>
      </c>
      <c r="S24" s="26">
        <v>40</v>
      </c>
      <c r="T24" s="26">
        <v>40</v>
      </c>
      <c r="U24" s="26" t="s">
        <v>65</v>
      </c>
      <c r="V24" s="26" t="s">
        <v>65</v>
      </c>
      <c r="W24" s="26" t="s">
        <v>65</v>
      </c>
      <c r="X24" s="26" t="s">
        <v>65</v>
      </c>
      <c r="Y24" s="26" t="s">
        <v>65</v>
      </c>
      <c r="Z24" s="26" t="s">
        <v>65</v>
      </c>
      <c r="AA24" s="26" t="s">
        <v>65</v>
      </c>
      <c r="AB24" s="29" t="s">
        <v>261</v>
      </c>
      <c r="AC24" s="29" t="s">
        <v>77</v>
      </c>
      <c r="AD24" s="29" t="s">
        <v>77</v>
      </c>
      <c r="AE24" s="29" t="s">
        <v>77</v>
      </c>
      <c r="AF24" s="29" t="s">
        <v>77</v>
      </c>
      <c r="AG24" s="29" t="s">
        <v>77</v>
      </c>
      <c r="AH24" s="29" t="s">
        <v>77</v>
      </c>
      <c r="AI24" s="29" t="s">
        <v>77</v>
      </c>
      <c r="AJ24" s="29" t="s">
        <v>77</v>
      </c>
      <c r="AK24" s="29" t="s">
        <v>77</v>
      </c>
      <c r="AL24" s="29" t="s">
        <v>77</v>
      </c>
      <c r="AM24" s="29" t="s">
        <v>77</v>
      </c>
      <c r="AN24" s="29" t="s">
        <v>77</v>
      </c>
      <c r="AO24" s="26" t="s">
        <v>217</v>
      </c>
      <c r="AP24" s="26" t="s">
        <v>125</v>
      </c>
      <c r="AQ24" s="26" t="s">
        <v>125</v>
      </c>
      <c r="AR24" s="26" t="s">
        <v>125</v>
      </c>
      <c r="AS24" s="26" t="s">
        <v>125</v>
      </c>
      <c r="AT24" s="26" t="s">
        <v>125</v>
      </c>
      <c r="AU24" s="26" t="s">
        <v>125</v>
      </c>
      <c r="AV24" s="26" t="s">
        <v>125</v>
      </c>
      <c r="AW24" s="26" t="s">
        <v>125</v>
      </c>
      <c r="AX24" s="26" t="s">
        <v>125</v>
      </c>
      <c r="AY24" s="26" t="s">
        <v>125</v>
      </c>
      <c r="AZ24" s="26" t="s">
        <v>220</v>
      </c>
      <c r="BA24" s="26" t="s">
        <v>138</v>
      </c>
      <c r="BB24" s="26" t="s">
        <v>138</v>
      </c>
      <c r="BC24" s="26" t="s">
        <v>138</v>
      </c>
      <c r="BD24" s="26" t="s">
        <v>138</v>
      </c>
      <c r="BE24" s="26" t="s">
        <v>138</v>
      </c>
      <c r="BF24" s="26" t="s">
        <v>138</v>
      </c>
      <c r="BG24" s="26" t="s">
        <v>138</v>
      </c>
      <c r="BH24" s="26" t="s">
        <v>138</v>
      </c>
      <c r="BI24" s="26" t="s">
        <v>138</v>
      </c>
      <c r="BJ24" s="26" t="s">
        <v>138</v>
      </c>
      <c r="BK24" s="23">
        <v>185</v>
      </c>
      <c r="BL24" s="24">
        <v>200</v>
      </c>
      <c r="BM24" s="25">
        <v>200</v>
      </c>
      <c r="BN24" s="23">
        <v>600</v>
      </c>
      <c r="BO24" s="24">
        <v>600</v>
      </c>
      <c r="BP24" s="25">
        <v>600</v>
      </c>
      <c r="BQ24" s="23" t="s">
        <v>80</v>
      </c>
      <c r="BR24" s="24" t="s">
        <v>80</v>
      </c>
      <c r="BS24" s="25" t="s">
        <v>80</v>
      </c>
      <c r="BT24" s="23" t="s">
        <v>81</v>
      </c>
      <c r="BU24" s="24" t="s">
        <v>81</v>
      </c>
      <c r="BV24" s="25" t="s">
        <v>81</v>
      </c>
      <c r="BW24" s="23" t="s">
        <v>81</v>
      </c>
      <c r="BX24" s="24" t="s">
        <v>81</v>
      </c>
      <c r="BY24" s="24" t="s">
        <v>81</v>
      </c>
      <c r="BZ24" s="25" t="s">
        <v>81</v>
      </c>
      <c r="CA24" s="31" t="s">
        <v>246</v>
      </c>
      <c r="CB24" s="31" t="s">
        <v>92</v>
      </c>
      <c r="CC24" s="31" t="s">
        <v>92</v>
      </c>
      <c r="CD24" s="23">
        <v>135</v>
      </c>
      <c r="CE24" s="24">
        <v>135</v>
      </c>
      <c r="CF24" s="25">
        <v>135</v>
      </c>
      <c r="CG24" s="23">
        <v>488</v>
      </c>
      <c r="CH24" s="24">
        <v>488</v>
      </c>
      <c r="CI24" s="24">
        <v>488</v>
      </c>
      <c r="CJ24" s="25">
        <v>488</v>
      </c>
      <c r="CK24" s="23" t="s">
        <v>81</v>
      </c>
      <c r="CL24" s="25" t="s">
        <v>81</v>
      </c>
      <c r="CM24" s="23" t="s">
        <v>122</v>
      </c>
      <c r="CN24" s="24" t="s">
        <v>123</v>
      </c>
      <c r="CO24" s="24" t="s">
        <v>123</v>
      </c>
      <c r="CP24" s="24" t="s">
        <v>123</v>
      </c>
      <c r="CQ24" s="24" t="s">
        <v>123</v>
      </c>
      <c r="CR24" s="24" t="s">
        <v>123</v>
      </c>
      <c r="CS24" s="25" t="s">
        <v>123</v>
      </c>
      <c r="CT24" s="26">
        <v>2.0089999999999999</v>
      </c>
      <c r="CU24" s="26" t="s">
        <v>124</v>
      </c>
      <c r="CV24" s="26" t="s">
        <v>124</v>
      </c>
      <c r="CW24" s="26" t="s">
        <v>124</v>
      </c>
      <c r="CX24" s="26" t="s">
        <v>124</v>
      </c>
      <c r="CY24" s="26" t="s">
        <v>124</v>
      </c>
      <c r="CZ24" s="26" t="s">
        <v>124</v>
      </c>
      <c r="DA24" s="26" t="s">
        <v>81</v>
      </c>
      <c r="DB24" s="26"/>
      <c r="DC24" s="26"/>
      <c r="DD24" s="26"/>
      <c r="DE24" s="26"/>
      <c r="DF24" s="26" t="s">
        <v>81</v>
      </c>
      <c r="DG24" s="26"/>
      <c r="DH24" s="26"/>
      <c r="DI24" s="26"/>
      <c r="DJ24" s="26" t="s">
        <v>81</v>
      </c>
      <c r="DK24" s="26"/>
      <c r="DL24" s="26"/>
      <c r="DM24" s="26"/>
      <c r="DN24" s="26" t="s">
        <v>81</v>
      </c>
      <c r="DO24" s="26"/>
      <c r="DP24" s="26"/>
      <c r="DQ24" s="26"/>
      <c r="DR24" s="26"/>
      <c r="DS24" s="27"/>
      <c r="DT24" s="14">
        <v>19</v>
      </c>
    </row>
    <row r="25" spans="2:124" customFormat="1" ht="15" customHeight="1">
      <c r="B25" s="34">
        <v>4790</v>
      </c>
      <c r="C25" s="24"/>
      <c r="D25" s="24"/>
      <c r="E25" s="24"/>
      <c r="F25" s="24"/>
      <c r="G25" s="25"/>
      <c r="H25" s="32" t="s">
        <v>144</v>
      </c>
      <c r="I25" s="32" t="s">
        <v>144</v>
      </c>
      <c r="J25" s="32" t="s">
        <v>144</v>
      </c>
      <c r="K25" s="32" t="s">
        <v>144</v>
      </c>
      <c r="L25" s="32" t="s">
        <v>144</v>
      </c>
      <c r="M25" s="26" t="s">
        <v>86</v>
      </c>
      <c r="N25" s="26" t="s">
        <v>86</v>
      </c>
      <c r="O25" s="26" t="s">
        <v>86</v>
      </c>
      <c r="P25" s="26" t="s">
        <v>86</v>
      </c>
      <c r="Q25" s="26">
        <v>80</v>
      </c>
      <c r="R25" s="26">
        <v>80</v>
      </c>
      <c r="S25" s="26">
        <v>80</v>
      </c>
      <c r="T25" s="26">
        <v>80</v>
      </c>
      <c r="U25" s="26" t="s">
        <v>65</v>
      </c>
      <c r="V25" s="26" t="s">
        <v>65</v>
      </c>
      <c r="W25" s="26" t="s">
        <v>65</v>
      </c>
      <c r="X25" s="26" t="s">
        <v>65</v>
      </c>
      <c r="Y25" s="26" t="s">
        <v>65</v>
      </c>
      <c r="Z25" s="26" t="s">
        <v>65</v>
      </c>
      <c r="AA25" s="26" t="s">
        <v>65</v>
      </c>
      <c r="AB25" s="29" t="s">
        <v>261</v>
      </c>
      <c r="AC25" s="29" t="s">
        <v>77</v>
      </c>
      <c r="AD25" s="29" t="s">
        <v>77</v>
      </c>
      <c r="AE25" s="29" t="s">
        <v>77</v>
      </c>
      <c r="AF25" s="29" t="s">
        <v>77</v>
      </c>
      <c r="AG25" s="29" t="s">
        <v>77</v>
      </c>
      <c r="AH25" s="29" t="s">
        <v>77</v>
      </c>
      <c r="AI25" s="29" t="s">
        <v>77</v>
      </c>
      <c r="AJ25" s="29" t="s">
        <v>77</v>
      </c>
      <c r="AK25" s="29" t="s">
        <v>77</v>
      </c>
      <c r="AL25" s="29" t="s">
        <v>77</v>
      </c>
      <c r="AM25" s="29" t="s">
        <v>77</v>
      </c>
      <c r="AN25" s="29" t="s">
        <v>77</v>
      </c>
      <c r="AO25" s="26" t="s">
        <v>223</v>
      </c>
      <c r="AP25" s="26" t="s">
        <v>145</v>
      </c>
      <c r="AQ25" s="26" t="s">
        <v>145</v>
      </c>
      <c r="AR25" s="26" t="s">
        <v>145</v>
      </c>
      <c r="AS25" s="26" t="s">
        <v>145</v>
      </c>
      <c r="AT25" s="26" t="s">
        <v>145</v>
      </c>
      <c r="AU25" s="26" t="s">
        <v>145</v>
      </c>
      <c r="AV25" s="26" t="s">
        <v>145</v>
      </c>
      <c r="AW25" s="26" t="s">
        <v>145</v>
      </c>
      <c r="AX25" s="26" t="s">
        <v>145</v>
      </c>
      <c r="AY25" s="26" t="s">
        <v>145</v>
      </c>
      <c r="AZ25" s="26" t="s">
        <v>237</v>
      </c>
      <c r="BA25" s="26" t="s">
        <v>146</v>
      </c>
      <c r="BB25" s="26" t="s">
        <v>146</v>
      </c>
      <c r="BC25" s="26" t="s">
        <v>146</v>
      </c>
      <c r="BD25" s="26" t="s">
        <v>146</v>
      </c>
      <c r="BE25" s="26" t="s">
        <v>146</v>
      </c>
      <c r="BF25" s="26" t="s">
        <v>146</v>
      </c>
      <c r="BG25" s="26" t="s">
        <v>146</v>
      </c>
      <c r="BH25" s="26" t="s">
        <v>146</v>
      </c>
      <c r="BI25" s="26" t="s">
        <v>146</v>
      </c>
      <c r="BJ25" s="26" t="s">
        <v>146</v>
      </c>
      <c r="BK25" s="26">
        <v>200</v>
      </c>
      <c r="BL25" s="26">
        <v>200</v>
      </c>
      <c r="BM25" s="26">
        <v>200</v>
      </c>
      <c r="BN25" s="26">
        <v>600</v>
      </c>
      <c r="BO25" s="26">
        <v>600</v>
      </c>
      <c r="BP25" s="26">
        <v>600</v>
      </c>
      <c r="BQ25" s="26" t="s">
        <v>71</v>
      </c>
      <c r="BR25" s="26" t="s">
        <v>71</v>
      </c>
      <c r="BS25" s="26" t="s">
        <v>71</v>
      </c>
      <c r="BT25" s="26" t="s">
        <v>81</v>
      </c>
      <c r="BU25" s="26" t="s">
        <v>81</v>
      </c>
      <c r="BV25" s="26" t="s">
        <v>81</v>
      </c>
      <c r="BW25" s="26" t="s">
        <v>68</v>
      </c>
      <c r="BX25" s="26" t="s">
        <v>68</v>
      </c>
      <c r="BY25" s="26" t="s">
        <v>68</v>
      </c>
      <c r="BZ25" s="26" t="s">
        <v>68</v>
      </c>
      <c r="CA25" s="31" t="s">
        <v>68</v>
      </c>
      <c r="CB25" s="31" t="s">
        <v>68</v>
      </c>
      <c r="CC25" s="31" t="s">
        <v>68</v>
      </c>
      <c r="CD25" s="26">
        <v>105</v>
      </c>
      <c r="CE25" s="26">
        <v>105</v>
      </c>
      <c r="CF25" s="26">
        <v>105</v>
      </c>
      <c r="CG25" s="26" t="s">
        <v>147</v>
      </c>
      <c r="CH25" s="26" t="s">
        <v>147</v>
      </c>
      <c r="CI25" s="26" t="s">
        <v>147</v>
      </c>
      <c r="CJ25" s="26" t="s">
        <v>147</v>
      </c>
      <c r="CK25" s="26" t="s">
        <v>68</v>
      </c>
      <c r="CL25" s="26" t="s">
        <v>68</v>
      </c>
      <c r="CM25" s="26" t="s">
        <v>127</v>
      </c>
      <c r="CN25" s="26" t="s">
        <v>128</v>
      </c>
      <c r="CO25" s="26" t="s">
        <v>128</v>
      </c>
      <c r="CP25" s="26" t="s">
        <v>128</v>
      </c>
      <c r="CQ25" s="26" t="s">
        <v>128</v>
      </c>
      <c r="CR25" s="26" t="s">
        <v>128</v>
      </c>
      <c r="CS25" s="26" t="s">
        <v>128</v>
      </c>
      <c r="CT25" s="33">
        <v>2255</v>
      </c>
      <c r="CU25" s="33">
        <v>2255</v>
      </c>
      <c r="CV25" s="33">
        <v>2255</v>
      </c>
      <c r="CW25" s="33">
        <v>2255</v>
      </c>
      <c r="CX25" s="33">
        <v>2255</v>
      </c>
      <c r="CY25" s="33">
        <v>2255</v>
      </c>
      <c r="CZ25" s="33">
        <v>2255</v>
      </c>
      <c r="DA25" s="26" t="s">
        <v>81</v>
      </c>
      <c r="DB25" s="26"/>
      <c r="DC25" s="26"/>
      <c r="DD25" s="26"/>
      <c r="DE25" s="26"/>
      <c r="DF25" s="26" t="s">
        <v>81</v>
      </c>
      <c r="DG25" s="26"/>
      <c r="DH25" s="26"/>
      <c r="DI25" s="26"/>
      <c r="DJ25" s="26" t="s">
        <v>81</v>
      </c>
      <c r="DK25" s="26"/>
      <c r="DL25" s="26"/>
      <c r="DM25" s="26"/>
      <c r="DN25" s="26" t="s">
        <v>81</v>
      </c>
      <c r="DO25" s="26"/>
      <c r="DP25" s="26"/>
      <c r="DQ25" s="26"/>
      <c r="DR25" s="26"/>
      <c r="DS25" s="27"/>
      <c r="DT25" s="14">
        <v>20</v>
      </c>
    </row>
    <row r="26" spans="2:124" customFormat="1" ht="15" customHeight="1">
      <c r="B26" s="34">
        <v>4791</v>
      </c>
      <c r="C26" s="24"/>
      <c r="D26" s="24"/>
      <c r="E26" s="24"/>
      <c r="F26" s="24"/>
      <c r="G26" s="25"/>
      <c r="H26" s="26" t="s">
        <v>109</v>
      </c>
      <c r="I26" s="26" t="s">
        <v>109</v>
      </c>
      <c r="J26" s="26" t="s">
        <v>109</v>
      </c>
      <c r="K26" s="26" t="s">
        <v>109</v>
      </c>
      <c r="L26" s="26" t="s">
        <v>109</v>
      </c>
      <c r="M26" s="26" t="s">
        <v>86</v>
      </c>
      <c r="N26" s="26" t="s">
        <v>86</v>
      </c>
      <c r="O26" s="26" t="s">
        <v>86</v>
      </c>
      <c r="P26" s="26" t="s">
        <v>86</v>
      </c>
      <c r="Q26" s="26">
        <v>40</v>
      </c>
      <c r="R26" s="26">
        <v>40</v>
      </c>
      <c r="S26" s="26">
        <v>40</v>
      </c>
      <c r="T26" s="26">
        <v>40</v>
      </c>
      <c r="U26" s="26" t="s">
        <v>65</v>
      </c>
      <c r="V26" s="26" t="s">
        <v>65</v>
      </c>
      <c r="W26" s="26" t="s">
        <v>65</v>
      </c>
      <c r="X26" s="26" t="s">
        <v>65</v>
      </c>
      <c r="Y26" s="26" t="s">
        <v>65</v>
      </c>
      <c r="Z26" s="26" t="s">
        <v>65</v>
      </c>
      <c r="AA26" s="26" t="s">
        <v>65</v>
      </c>
      <c r="AB26" s="29" t="s">
        <v>261</v>
      </c>
      <c r="AC26" s="29" t="s">
        <v>77</v>
      </c>
      <c r="AD26" s="29" t="s">
        <v>77</v>
      </c>
      <c r="AE26" s="29" t="s">
        <v>77</v>
      </c>
      <c r="AF26" s="29" t="s">
        <v>77</v>
      </c>
      <c r="AG26" s="29" t="s">
        <v>77</v>
      </c>
      <c r="AH26" s="29" t="s">
        <v>77</v>
      </c>
      <c r="AI26" s="29" t="s">
        <v>77</v>
      </c>
      <c r="AJ26" s="29" t="s">
        <v>77</v>
      </c>
      <c r="AK26" s="29" t="s">
        <v>77</v>
      </c>
      <c r="AL26" s="29" t="s">
        <v>77</v>
      </c>
      <c r="AM26" s="29" t="s">
        <v>77</v>
      </c>
      <c r="AN26" s="29" t="s">
        <v>77</v>
      </c>
      <c r="AO26" s="23" t="s">
        <v>220</v>
      </c>
      <c r="AP26" s="24" t="s">
        <v>138</v>
      </c>
      <c r="AQ26" s="24" t="s">
        <v>138</v>
      </c>
      <c r="AR26" s="24" t="s">
        <v>138</v>
      </c>
      <c r="AS26" s="24" t="s">
        <v>138</v>
      </c>
      <c r="AT26" s="24" t="s">
        <v>138</v>
      </c>
      <c r="AU26" s="24" t="s">
        <v>138</v>
      </c>
      <c r="AV26" s="24" t="s">
        <v>138</v>
      </c>
      <c r="AW26" s="24" t="s">
        <v>138</v>
      </c>
      <c r="AX26" s="24" t="s">
        <v>138</v>
      </c>
      <c r="AY26" s="25" t="s">
        <v>138</v>
      </c>
      <c r="AZ26" s="26" t="s">
        <v>277</v>
      </c>
      <c r="BA26" s="26" t="s">
        <v>148</v>
      </c>
      <c r="BB26" s="26" t="s">
        <v>148</v>
      </c>
      <c r="BC26" s="26" t="s">
        <v>148</v>
      </c>
      <c r="BD26" s="26" t="s">
        <v>148</v>
      </c>
      <c r="BE26" s="26" t="s">
        <v>148</v>
      </c>
      <c r="BF26" s="26" t="s">
        <v>148</v>
      </c>
      <c r="BG26" s="26" t="s">
        <v>148</v>
      </c>
      <c r="BH26" s="26" t="s">
        <v>148</v>
      </c>
      <c r="BI26" s="26" t="s">
        <v>148</v>
      </c>
      <c r="BJ26" s="26" t="s">
        <v>148</v>
      </c>
      <c r="BK26" s="26">
        <v>200</v>
      </c>
      <c r="BL26" s="26">
        <v>200</v>
      </c>
      <c r="BM26" s="26">
        <v>200</v>
      </c>
      <c r="BN26" s="26">
        <v>600</v>
      </c>
      <c r="BO26" s="26">
        <v>600</v>
      </c>
      <c r="BP26" s="26">
        <v>600</v>
      </c>
      <c r="BQ26" s="26" t="s">
        <v>71</v>
      </c>
      <c r="BR26" s="26" t="s">
        <v>71</v>
      </c>
      <c r="BS26" s="26" t="s">
        <v>71</v>
      </c>
      <c r="BT26" s="26" t="s">
        <v>81</v>
      </c>
      <c r="BU26" s="26" t="s">
        <v>81</v>
      </c>
      <c r="BV26" s="26" t="s">
        <v>81</v>
      </c>
      <c r="BW26" s="26">
        <v>5290</v>
      </c>
      <c r="BX26" s="26">
        <v>5290</v>
      </c>
      <c r="BY26" s="26">
        <v>5290</v>
      </c>
      <c r="BZ26" s="26">
        <v>5290</v>
      </c>
      <c r="CA26" s="31" t="s">
        <v>149</v>
      </c>
      <c r="CB26" s="31" t="s">
        <v>149</v>
      </c>
      <c r="CC26" s="31" t="s">
        <v>149</v>
      </c>
      <c r="CD26" s="26">
        <v>150</v>
      </c>
      <c r="CE26" s="26">
        <v>150</v>
      </c>
      <c r="CF26" s="26">
        <v>150</v>
      </c>
      <c r="CG26" s="26">
        <v>470</v>
      </c>
      <c r="CH26" s="26">
        <v>470</v>
      </c>
      <c r="CI26" s="26">
        <v>470</v>
      </c>
      <c r="CJ26" s="26">
        <v>470</v>
      </c>
      <c r="CK26" s="31" t="s">
        <v>150</v>
      </c>
      <c r="CL26" s="31" t="s">
        <v>150</v>
      </c>
      <c r="CM26" s="26" t="s">
        <v>122</v>
      </c>
      <c r="CN26" s="26" t="s">
        <v>123</v>
      </c>
      <c r="CO26" s="26" t="s">
        <v>123</v>
      </c>
      <c r="CP26" s="26" t="s">
        <v>123</v>
      </c>
      <c r="CQ26" s="26" t="s">
        <v>123</v>
      </c>
      <c r="CR26" s="26" t="s">
        <v>123</v>
      </c>
      <c r="CS26" s="26" t="s">
        <v>123</v>
      </c>
      <c r="CT26" s="33">
        <v>2255</v>
      </c>
      <c r="CU26" s="33">
        <v>2255</v>
      </c>
      <c r="CV26" s="33">
        <v>2255</v>
      </c>
      <c r="CW26" s="33">
        <v>2255</v>
      </c>
      <c r="CX26" s="33">
        <v>2255</v>
      </c>
      <c r="CY26" s="33">
        <v>2255</v>
      </c>
      <c r="CZ26" s="33">
        <v>2255</v>
      </c>
      <c r="DA26" s="26" t="s">
        <v>81</v>
      </c>
      <c r="DB26" s="26"/>
      <c r="DC26" s="26"/>
      <c r="DD26" s="26"/>
      <c r="DE26" s="26"/>
      <c r="DF26" s="26" t="s">
        <v>81</v>
      </c>
      <c r="DG26" s="26"/>
      <c r="DH26" s="26"/>
      <c r="DI26" s="26"/>
      <c r="DJ26" s="26" t="s">
        <v>81</v>
      </c>
      <c r="DK26" s="26"/>
      <c r="DL26" s="26"/>
      <c r="DM26" s="26"/>
      <c r="DN26" s="26" t="s">
        <v>81</v>
      </c>
      <c r="DO26" s="26"/>
      <c r="DP26" s="26"/>
      <c r="DQ26" s="26"/>
      <c r="DR26" s="26"/>
      <c r="DS26" s="27"/>
      <c r="DT26" s="14">
        <v>21</v>
      </c>
    </row>
    <row r="27" spans="2:124" customFormat="1" ht="15" customHeight="1">
      <c r="B27" s="34">
        <v>4792</v>
      </c>
      <c r="C27" s="24"/>
      <c r="D27" s="24"/>
      <c r="E27" s="24"/>
      <c r="F27" s="24"/>
      <c r="G27" s="25"/>
      <c r="H27" s="26" t="s">
        <v>106</v>
      </c>
      <c r="I27" s="26" t="s">
        <v>106</v>
      </c>
      <c r="J27" s="26" t="s">
        <v>106</v>
      </c>
      <c r="K27" s="26" t="s">
        <v>106</v>
      </c>
      <c r="L27" s="26" t="s">
        <v>106</v>
      </c>
      <c r="M27" s="26" t="s">
        <v>86</v>
      </c>
      <c r="N27" s="26" t="s">
        <v>86</v>
      </c>
      <c r="O27" s="26" t="s">
        <v>86</v>
      </c>
      <c r="P27" s="26" t="s">
        <v>86</v>
      </c>
      <c r="Q27" s="26">
        <v>80</v>
      </c>
      <c r="R27" s="26">
        <v>80</v>
      </c>
      <c r="S27" s="26">
        <v>80</v>
      </c>
      <c r="T27" s="26">
        <v>80</v>
      </c>
      <c r="U27" s="26" t="s">
        <v>65</v>
      </c>
      <c r="V27" s="26" t="s">
        <v>65</v>
      </c>
      <c r="W27" s="26" t="s">
        <v>65</v>
      </c>
      <c r="X27" s="26" t="s">
        <v>65</v>
      </c>
      <c r="Y27" s="26" t="s">
        <v>65</v>
      </c>
      <c r="Z27" s="26" t="s">
        <v>65</v>
      </c>
      <c r="AA27" s="26" t="s">
        <v>65</v>
      </c>
      <c r="AB27" s="29" t="s">
        <v>261</v>
      </c>
      <c r="AC27" s="29" t="s">
        <v>77</v>
      </c>
      <c r="AD27" s="29" t="s">
        <v>77</v>
      </c>
      <c r="AE27" s="29" t="s">
        <v>77</v>
      </c>
      <c r="AF27" s="29" t="s">
        <v>77</v>
      </c>
      <c r="AG27" s="29" t="s">
        <v>77</v>
      </c>
      <c r="AH27" s="29" t="s">
        <v>77</v>
      </c>
      <c r="AI27" s="29" t="s">
        <v>77</v>
      </c>
      <c r="AJ27" s="29" t="s">
        <v>77</v>
      </c>
      <c r="AK27" s="29" t="s">
        <v>77</v>
      </c>
      <c r="AL27" s="29" t="s">
        <v>77</v>
      </c>
      <c r="AM27" s="29" t="s">
        <v>77</v>
      </c>
      <c r="AN27" s="29" t="s">
        <v>77</v>
      </c>
      <c r="AO27" s="23" t="s">
        <v>220</v>
      </c>
      <c r="AP27" s="24" t="s">
        <v>138</v>
      </c>
      <c r="AQ27" s="24" t="s">
        <v>138</v>
      </c>
      <c r="AR27" s="24" t="s">
        <v>138</v>
      </c>
      <c r="AS27" s="24" t="s">
        <v>138</v>
      </c>
      <c r="AT27" s="24" t="s">
        <v>138</v>
      </c>
      <c r="AU27" s="24" t="s">
        <v>138</v>
      </c>
      <c r="AV27" s="24" t="s">
        <v>138</v>
      </c>
      <c r="AW27" s="24" t="s">
        <v>138</v>
      </c>
      <c r="AX27" s="24" t="s">
        <v>138</v>
      </c>
      <c r="AY27" s="25" t="s">
        <v>138</v>
      </c>
      <c r="AZ27" s="26" t="s">
        <v>278</v>
      </c>
      <c r="BA27" s="26" t="s">
        <v>151</v>
      </c>
      <c r="BB27" s="26" t="s">
        <v>151</v>
      </c>
      <c r="BC27" s="26" t="s">
        <v>151</v>
      </c>
      <c r="BD27" s="26" t="s">
        <v>151</v>
      </c>
      <c r="BE27" s="26" t="s">
        <v>151</v>
      </c>
      <c r="BF27" s="26" t="s">
        <v>151</v>
      </c>
      <c r="BG27" s="26" t="s">
        <v>151</v>
      </c>
      <c r="BH27" s="26" t="s">
        <v>151</v>
      </c>
      <c r="BI27" s="26" t="s">
        <v>151</v>
      </c>
      <c r="BJ27" s="26" t="s">
        <v>151</v>
      </c>
      <c r="BK27" s="26">
        <v>200</v>
      </c>
      <c r="BL27" s="26">
        <v>200</v>
      </c>
      <c r="BM27" s="26">
        <v>200</v>
      </c>
      <c r="BN27" s="26">
        <v>600</v>
      </c>
      <c r="BO27" s="26">
        <v>600</v>
      </c>
      <c r="BP27" s="26">
        <v>600</v>
      </c>
      <c r="BQ27" s="26" t="s">
        <v>71</v>
      </c>
      <c r="BR27" s="26" t="s">
        <v>71</v>
      </c>
      <c r="BS27" s="26" t="s">
        <v>71</v>
      </c>
      <c r="BT27" s="26" t="s">
        <v>81</v>
      </c>
      <c r="BU27" s="26" t="s">
        <v>81</v>
      </c>
      <c r="BV27" s="26" t="s">
        <v>81</v>
      </c>
      <c r="BW27" s="26" t="s">
        <v>68</v>
      </c>
      <c r="BX27" s="26" t="s">
        <v>68</v>
      </c>
      <c r="BY27" s="26" t="s">
        <v>68</v>
      </c>
      <c r="BZ27" s="26" t="s">
        <v>68</v>
      </c>
      <c r="CA27" s="31" t="s">
        <v>68</v>
      </c>
      <c r="CB27" s="31" t="s">
        <v>68</v>
      </c>
      <c r="CC27" s="31" t="s">
        <v>68</v>
      </c>
      <c r="CD27" s="26">
        <v>135</v>
      </c>
      <c r="CE27" s="26">
        <v>135</v>
      </c>
      <c r="CF27" s="26">
        <v>135</v>
      </c>
      <c r="CG27" s="26">
        <v>470</v>
      </c>
      <c r="CH27" s="26">
        <v>470</v>
      </c>
      <c r="CI27" s="26">
        <v>470</v>
      </c>
      <c r="CJ27" s="26">
        <v>470</v>
      </c>
      <c r="CK27" s="31" t="s">
        <v>68</v>
      </c>
      <c r="CL27" s="31" t="s">
        <v>68</v>
      </c>
      <c r="CM27" s="26" t="s">
        <v>122</v>
      </c>
      <c r="CN27" s="26" t="s">
        <v>123</v>
      </c>
      <c r="CO27" s="26" t="s">
        <v>123</v>
      </c>
      <c r="CP27" s="26" t="s">
        <v>123</v>
      </c>
      <c r="CQ27" s="26" t="s">
        <v>123</v>
      </c>
      <c r="CR27" s="26" t="s">
        <v>123</v>
      </c>
      <c r="CS27" s="26" t="s">
        <v>123</v>
      </c>
      <c r="CT27" s="33">
        <v>2255</v>
      </c>
      <c r="CU27" s="33">
        <v>2255</v>
      </c>
      <c r="CV27" s="33">
        <v>2255</v>
      </c>
      <c r="CW27" s="33">
        <v>2255</v>
      </c>
      <c r="CX27" s="33">
        <v>2255</v>
      </c>
      <c r="CY27" s="33">
        <v>2255</v>
      </c>
      <c r="CZ27" s="33">
        <v>2255</v>
      </c>
      <c r="DA27" s="26" t="s">
        <v>81</v>
      </c>
      <c r="DB27" s="26"/>
      <c r="DC27" s="26"/>
      <c r="DD27" s="26"/>
      <c r="DE27" s="26"/>
      <c r="DF27" s="26" t="s">
        <v>81</v>
      </c>
      <c r="DG27" s="26"/>
      <c r="DH27" s="26"/>
      <c r="DI27" s="26"/>
      <c r="DJ27" s="26" t="s">
        <v>81</v>
      </c>
      <c r="DK27" s="26"/>
      <c r="DL27" s="26"/>
      <c r="DM27" s="26"/>
      <c r="DN27" s="26" t="s">
        <v>81</v>
      </c>
      <c r="DO27" s="26"/>
      <c r="DP27" s="26"/>
      <c r="DQ27" s="26"/>
      <c r="DR27" s="26"/>
      <c r="DS27" s="27"/>
      <c r="DT27" s="14">
        <v>22</v>
      </c>
    </row>
    <row r="28" spans="2:124" customFormat="1" ht="15" customHeight="1">
      <c r="B28" s="34">
        <v>4793</v>
      </c>
      <c r="C28" s="24"/>
      <c r="D28" s="24"/>
      <c r="E28" s="24"/>
      <c r="F28" s="24"/>
      <c r="G28" s="25"/>
      <c r="H28" s="26" t="s">
        <v>130</v>
      </c>
      <c r="I28" s="26" t="s">
        <v>130</v>
      </c>
      <c r="J28" s="26" t="s">
        <v>130</v>
      </c>
      <c r="K28" s="26" t="s">
        <v>130</v>
      </c>
      <c r="L28" s="26" t="s">
        <v>130</v>
      </c>
      <c r="M28" s="26" t="s">
        <v>86</v>
      </c>
      <c r="N28" s="26" t="s">
        <v>86</v>
      </c>
      <c r="O28" s="26" t="s">
        <v>86</v>
      </c>
      <c r="P28" s="26" t="s">
        <v>86</v>
      </c>
      <c r="Q28" s="31">
        <v>40</v>
      </c>
      <c r="R28" s="31">
        <v>40</v>
      </c>
      <c r="S28" s="31">
        <v>40</v>
      </c>
      <c r="T28" s="31">
        <v>40</v>
      </c>
      <c r="U28" s="31" t="s">
        <v>65</v>
      </c>
      <c r="V28" s="31" t="s">
        <v>65</v>
      </c>
      <c r="W28" s="31" t="s">
        <v>65</v>
      </c>
      <c r="X28" s="31" t="s">
        <v>65</v>
      </c>
      <c r="Y28" s="31" t="s">
        <v>65</v>
      </c>
      <c r="Z28" s="31" t="s">
        <v>65</v>
      </c>
      <c r="AA28" s="31" t="s">
        <v>65</v>
      </c>
      <c r="AB28" s="29" t="s">
        <v>261</v>
      </c>
      <c r="AC28" s="29" t="s">
        <v>77</v>
      </c>
      <c r="AD28" s="29" t="s">
        <v>77</v>
      </c>
      <c r="AE28" s="29" t="s">
        <v>77</v>
      </c>
      <c r="AF28" s="29" t="s">
        <v>77</v>
      </c>
      <c r="AG28" s="29" t="s">
        <v>77</v>
      </c>
      <c r="AH28" s="29" t="s">
        <v>77</v>
      </c>
      <c r="AI28" s="29" t="s">
        <v>77</v>
      </c>
      <c r="AJ28" s="29" t="s">
        <v>77</v>
      </c>
      <c r="AK28" s="29" t="s">
        <v>77</v>
      </c>
      <c r="AL28" s="29" t="s">
        <v>77</v>
      </c>
      <c r="AM28" s="29" t="s">
        <v>77</v>
      </c>
      <c r="AN28" s="29" t="s">
        <v>77</v>
      </c>
      <c r="AO28" s="26" t="s">
        <v>217</v>
      </c>
      <c r="AP28" s="26" t="s">
        <v>125</v>
      </c>
      <c r="AQ28" s="26" t="s">
        <v>125</v>
      </c>
      <c r="AR28" s="26" t="s">
        <v>125</v>
      </c>
      <c r="AS28" s="26" t="s">
        <v>125</v>
      </c>
      <c r="AT28" s="26" t="s">
        <v>125</v>
      </c>
      <c r="AU28" s="26" t="s">
        <v>125</v>
      </c>
      <c r="AV28" s="26" t="s">
        <v>125</v>
      </c>
      <c r="AW28" s="26" t="s">
        <v>125</v>
      </c>
      <c r="AX28" s="26" t="s">
        <v>125</v>
      </c>
      <c r="AY28" s="26" t="s">
        <v>125</v>
      </c>
      <c r="AZ28" s="26" t="s">
        <v>136</v>
      </c>
      <c r="BA28" s="26" t="s">
        <v>136</v>
      </c>
      <c r="BB28" s="26" t="s">
        <v>136</v>
      </c>
      <c r="BC28" s="26" t="s">
        <v>136</v>
      </c>
      <c r="BD28" s="26" t="s">
        <v>136</v>
      </c>
      <c r="BE28" s="26" t="s">
        <v>136</v>
      </c>
      <c r="BF28" s="26" t="s">
        <v>136</v>
      </c>
      <c r="BG28" s="26" t="s">
        <v>136</v>
      </c>
      <c r="BH28" s="26" t="s">
        <v>136</v>
      </c>
      <c r="BI28" s="26" t="s">
        <v>136</v>
      </c>
      <c r="BJ28" s="26" t="s">
        <v>136</v>
      </c>
      <c r="BK28" s="26">
        <v>185</v>
      </c>
      <c r="BL28" s="26">
        <v>185</v>
      </c>
      <c r="BM28" s="26">
        <v>185</v>
      </c>
      <c r="BN28" s="26">
        <v>600</v>
      </c>
      <c r="BO28" s="26">
        <v>600</v>
      </c>
      <c r="BP28" s="26">
        <v>600</v>
      </c>
      <c r="BQ28" s="26" t="s">
        <v>80</v>
      </c>
      <c r="BR28" s="26" t="s">
        <v>80</v>
      </c>
      <c r="BS28" s="26" t="s">
        <v>80</v>
      </c>
      <c r="BT28" s="30" t="s">
        <v>81</v>
      </c>
      <c r="BU28" s="30" t="s">
        <v>81</v>
      </c>
      <c r="BV28" s="30" t="s">
        <v>81</v>
      </c>
      <c r="BW28" s="26" t="s">
        <v>81</v>
      </c>
      <c r="BX28" s="26"/>
      <c r="BY28" s="26"/>
      <c r="BZ28" s="26"/>
      <c r="CA28" s="31" t="s">
        <v>250</v>
      </c>
      <c r="CB28" s="31" t="s">
        <v>137</v>
      </c>
      <c r="CC28" s="31" t="s">
        <v>137</v>
      </c>
      <c r="CD28" s="26">
        <v>135</v>
      </c>
      <c r="CE28" s="26">
        <v>135</v>
      </c>
      <c r="CF28" s="26">
        <v>135</v>
      </c>
      <c r="CG28" s="26">
        <v>473</v>
      </c>
      <c r="CH28" s="26">
        <v>488</v>
      </c>
      <c r="CI28" s="26">
        <v>488</v>
      </c>
      <c r="CJ28" s="26">
        <v>488</v>
      </c>
      <c r="CK28" s="26" t="s">
        <v>81</v>
      </c>
      <c r="CL28" s="26" t="s">
        <v>81</v>
      </c>
      <c r="CM28" s="26" t="s">
        <v>122</v>
      </c>
      <c r="CN28" s="26" t="s">
        <v>123</v>
      </c>
      <c r="CO28" s="26" t="s">
        <v>123</v>
      </c>
      <c r="CP28" s="26" t="s">
        <v>123</v>
      </c>
      <c r="CQ28" s="26" t="s">
        <v>123</v>
      </c>
      <c r="CR28" s="26" t="s">
        <v>123</v>
      </c>
      <c r="CS28" s="26" t="s">
        <v>123</v>
      </c>
      <c r="CT28" s="26">
        <v>2.0089999999999999</v>
      </c>
      <c r="CU28" s="26" t="s">
        <v>124</v>
      </c>
      <c r="CV28" s="26" t="s">
        <v>124</v>
      </c>
      <c r="CW28" s="26" t="s">
        <v>124</v>
      </c>
      <c r="CX28" s="26" t="s">
        <v>124</v>
      </c>
      <c r="CY28" s="26" t="s">
        <v>124</v>
      </c>
      <c r="CZ28" s="26" t="s">
        <v>124</v>
      </c>
      <c r="DA28" s="26" t="s">
        <v>81</v>
      </c>
      <c r="DB28" s="26"/>
      <c r="DC28" s="26"/>
      <c r="DD28" s="26"/>
      <c r="DE28" s="26"/>
      <c r="DF28" s="26" t="s">
        <v>81</v>
      </c>
      <c r="DG28" s="26"/>
      <c r="DH28" s="26"/>
      <c r="DI28" s="26"/>
      <c r="DJ28" s="26" t="s">
        <v>81</v>
      </c>
      <c r="DK28" s="26"/>
      <c r="DL28" s="26"/>
      <c r="DM28" s="26"/>
      <c r="DN28" s="26" t="s">
        <v>81</v>
      </c>
      <c r="DO28" s="26"/>
      <c r="DP28" s="26"/>
      <c r="DQ28" s="26"/>
      <c r="DR28" s="26"/>
      <c r="DS28" s="27"/>
      <c r="DT28" s="14">
        <v>23</v>
      </c>
    </row>
    <row r="29" spans="2:124" customFormat="1" ht="15" customHeight="1">
      <c r="B29" s="34">
        <v>4794</v>
      </c>
      <c r="C29" s="24"/>
      <c r="D29" s="24"/>
      <c r="E29" s="24"/>
      <c r="F29" s="24"/>
      <c r="G29" s="25"/>
      <c r="H29" s="23" t="s">
        <v>222</v>
      </c>
      <c r="I29" s="24" t="s">
        <v>222</v>
      </c>
      <c r="J29" s="24" t="s">
        <v>222</v>
      </c>
      <c r="K29" s="24" t="s">
        <v>222</v>
      </c>
      <c r="L29" s="25" t="s">
        <v>222</v>
      </c>
      <c r="M29" s="23" t="s">
        <v>86</v>
      </c>
      <c r="N29" s="24" t="s">
        <v>86</v>
      </c>
      <c r="O29" s="24" t="s">
        <v>86</v>
      </c>
      <c r="P29" s="25" t="s">
        <v>86</v>
      </c>
      <c r="Q29" s="23">
        <v>40</v>
      </c>
      <c r="R29" s="24">
        <v>40</v>
      </c>
      <c r="S29" s="24">
        <v>40</v>
      </c>
      <c r="T29" s="25">
        <v>40</v>
      </c>
      <c r="U29" s="31" t="s">
        <v>65</v>
      </c>
      <c r="V29" s="31" t="s">
        <v>65</v>
      </c>
      <c r="W29" s="31" t="s">
        <v>65</v>
      </c>
      <c r="X29" s="31" t="s">
        <v>65</v>
      </c>
      <c r="Y29" s="31" t="s">
        <v>65</v>
      </c>
      <c r="Z29" s="31" t="s">
        <v>65</v>
      </c>
      <c r="AA29" s="31" t="s">
        <v>65</v>
      </c>
      <c r="AB29" s="29" t="s">
        <v>261</v>
      </c>
      <c r="AC29" s="29" t="s">
        <v>77</v>
      </c>
      <c r="AD29" s="29" t="s">
        <v>77</v>
      </c>
      <c r="AE29" s="29" t="s">
        <v>77</v>
      </c>
      <c r="AF29" s="29" t="s">
        <v>77</v>
      </c>
      <c r="AG29" s="29" t="s">
        <v>77</v>
      </c>
      <c r="AH29" s="29" t="s">
        <v>77</v>
      </c>
      <c r="AI29" s="29" t="s">
        <v>77</v>
      </c>
      <c r="AJ29" s="29" t="s">
        <v>77</v>
      </c>
      <c r="AK29" s="29" t="s">
        <v>77</v>
      </c>
      <c r="AL29" s="29" t="s">
        <v>77</v>
      </c>
      <c r="AM29" s="29" t="s">
        <v>77</v>
      </c>
      <c r="AN29" s="29" t="s">
        <v>77</v>
      </c>
      <c r="AO29" s="23" t="s">
        <v>220</v>
      </c>
      <c r="AP29" s="24" t="s">
        <v>138</v>
      </c>
      <c r="AQ29" s="24" t="s">
        <v>138</v>
      </c>
      <c r="AR29" s="24" t="s">
        <v>138</v>
      </c>
      <c r="AS29" s="24" t="s">
        <v>138</v>
      </c>
      <c r="AT29" s="24" t="s">
        <v>138</v>
      </c>
      <c r="AU29" s="24" t="s">
        <v>138</v>
      </c>
      <c r="AV29" s="24" t="s">
        <v>138</v>
      </c>
      <c r="AW29" s="24" t="s">
        <v>138</v>
      </c>
      <c r="AX29" s="24" t="s">
        <v>138</v>
      </c>
      <c r="AY29" s="25" t="s">
        <v>138</v>
      </c>
      <c r="AZ29" s="23" t="s">
        <v>221</v>
      </c>
      <c r="BA29" s="24" t="s">
        <v>221</v>
      </c>
      <c r="BB29" s="24" t="s">
        <v>221</v>
      </c>
      <c r="BC29" s="24" t="s">
        <v>221</v>
      </c>
      <c r="BD29" s="24" t="s">
        <v>221</v>
      </c>
      <c r="BE29" s="24" t="s">
        <v>221</v>
      </c>
      <c r="BF29" s="24" t="s">
        <v>221</v>
      </c>
      <c r="BG29" s="24" t="s">
        <v>221</v>
      </c>
      <c r="BH29" s="24" t="s">
        <v>221</v>
      </c>
      <c r="BI29" s="24" t="s">
        <v>221</v>
      </c>
      <c r="BJ29" s="25" t="s">
        <v>221</v>
      </c>
      <c r="BK29" s="23">
        <v>200</v>
      </c>
      <c r="BL29" s="24">
        <v>200</v>
      </c>
      <c r="BM29" s="25">
        <v>200</v>
      </c>
      <c r="BN29" s="23">
        <v>600</v>
      </c>
      <c r="BO29" s="24">
        <v>600</v>
      </c>
      <c r="BP29" s="25">
        <v>600</v>
      </c>
      <c r="BQ29" s="23" t="s">
        <v>71</v>
      </c>
      <c r="BR29" s="24" t="s">
        <v>71</v>
      </c>
      <c r="BS29" s="25" t="s">
        <v>71</v>
      </c>
      <c r="BT29" s="23" t="s">
        <v>81</v>
      </c>
      <c r="BU29" s="24" t="s">
        <v>81</v>
      </c>
      <c r="BV29" s="25" t="s">
        <v>81</v>
      </c>
      <c r="BW29" s="23" t="s">
        <v>68</v>
      </c>
      <c r="BX29" s="24" t="s">
        <v>68</v>
      </c>
      <c r="BY29" s="24" t="s">
        <v>68</v>
      </c>
      <c r="BZ29" s="25" t="s">
        <v>68</v>
      </c>
      <c r="CA29" s="23" t="s">
        <v>68</v>
      </c>
      <c r="CB29" s="24" t="s">
        <v>68</v>
      </c>
      <c r="CC29" s="25" t="s">
        <v>68</v>
      </c>
      <c r="CD29" s="23">
        <v>135</v>
      </c>
      <c r="CE29" s="24">
        <v>150</v>
      </c>
      <c r="CF29" s="25">
        <v>150</v>
      </c>
      <c r="CG29" s="26">
        <v>473</v>
      </c>
      <c r="CH29" s="26">
        <v>488</v>
      </c>
      <c r="CI29" s="26">
        <v>488</v>
      </c>
      <c r="CJ29" s="26">
        <v>488</v>
      </c>
      <c r="CK29" s="23" t="s">
        <v>68</v>
      </c>
      <c r="CL29" s="25" t="s">
        <v>68</v>
      </c>
      <c r="CM29" s="23" t="s">
        <v>122</v>
      </c>
      <c r="CN29" s="24" t="s">
        <v>123</v>
      </c>
      <c r="CO29" s="24" t="s">
        <v>123</v>
      </c>
      <c r="CP29" s="24" t="s">
        <v>123</v>
      </c>
      <c r="CQ29" s="24" t="s">
        <v>123</v>
      </c>
      <c r="CR29" s="24" t="s">
        <v>123</v>
      </c>
      <c r="CS29" s="25" t="s">
        <v>123</v>
      </c>
      <c r="CT29" s="26">
        <v>2.0339999999999998</v>
      </c>
      <c r="CU29" s="26">
        <v>2255</v>
      </c>
      <c r="CV29" s="26">
        <v>2255</v>
      </c>
      <c r="CW29" s="26">
        <v>2255</v>
      </c>
      <c r="CX29" s="26">
        <v>2255</v>
      </c>
      <c r="CY29" s="26">
        <v>2255</v>
      </c>
      <c r="CZ29" s="26">
        <v>2255</v>
      </c>
      <c r="DA29" s="23" t="s">
        <v>81</v>
      </c>
      <c r="DB29" s="24"/>
      <c r="DC29" s="24"/>
      <c r="DD29" s="24"/>
      <c r="DE29" s="24"/>
      <c r="DF29" s="23" t="s">
        <v>81</v>
      </c>
      <c r="DG29" s="24"/>
      <c r="DH29" s="24"/>
      <c r="DI29" s="25"/>
      <c r="DJ29" s="23" t="s">
        <v>81</v>
      </c>
      <c r="DK29" s="24"/>
      <c r="DL29" s="24"/>
      <c r="DM29" s="25"/>
      <c r="DN29" s="23" t="s">
        <v>81</v>
      </c>
      <c r="DO29" s="24"/>
      <c r="DP29" s="24"/>
      <c r="DQ29" s="24"/>
      <c r="DR29" s="24"/>
      <c r="DS29" s="44"/>
      <c r="DT29" s="14">
        <v>24</v>
      </c>
    </row>
    <row r="30" spans="2:124" customFormat="1" ht="15" customHeight="1">
      <c r="B30" s="34">
        <v>4795</v>
      </c>
      <c r="C30" s="24"/>
      <c r="D30" s="24"/>
      <c r="E30" s="24"/>
      <c r="F30" s="24"/>
      <c r="G30" s="25"/>
      <c r="H30" s="39" t="s">
        <v>67</v>
      </c>
      <c r="I30" s="40"/>
      <c r="J30" s="40"/>
      <c r="K30" s="40"/>
      <c r="L30" s="41"/>
      <c r="M30" s="23" t="s">
        <v>94</v>
      </c>
      <c r="N30" s="24"/>
      <c r="O30" s="24"/>
      <c r="P30" s="25"/>
      <c r="Q30" s="26" t="s">
        <v>288</v>
      </c>
      <c r="R30" s="26" t="s">
        <v>98</v>
      </c>
      <c r="S30" s="26" t="s">
        <v>98</v>
      </c>
      <c r="T30" s="26" t="s">
        <v>98</v>
      </c>
      <c r="U30" s="31" t="s">
        <v>65</v>
      </c>
      <c r="V30" s="31" t="s">
        <v>65</v>
      </c>
      <c r="W30" s="31" t="s">
        <v>65</v>
      </c>
      <c r="X30" s="31" t="s">
        <v>65</v>
      </c>
      <c r="Y30" s="31" t="s">
        <v>65</v>
      </c>
      <c r="Z30" s="31" t="s">
        <v>65</v>
      </c>
      <c r="AA30" s="31" t="s">
        <v>65</v>
      </c>
      <c r="AB30" s="29" t="s">
        <v>261</v>
      </c>
      <c r="AC30" s="29" t="s">
        <v>77</v>
      </c>
      <c r="AD30" s="29" t="s">
        <v>77</v>
      </c>
      <c r="AE30" s="29" t="s">
        <v>77</v>
      </c>
      <c r="AF30" s="29" t="s">
        <v>77</v>
      </c>
      <c r="AG30" s="29" t="s">
        <v>77</v>
      </c>
      <c r="AH30" s="29" t="s">
        <v>77</v>
      </c>
      <c r="AI30" s="29" t="s">
        <v>77</v>
      </c>
      <c r="AJ30" s="29" t="s">
        <v>77</v>
      </c>
      <c r="AK30" s="29" t="s">
        <v>77</v>
      </c>
      <c r="AL30" s="29" t="s">
        <v>77</v>
      </c>
      <c r="AM30" s="29" t="s">
        <v>77</v>
      </c>
      <c r="AN30" s="29" t="s">
        <v>77</v>
      </c>
      <c r="AO30" s="26" t="s">
        <v>276</v>
      </c>
      <c r="AP30" s="26" t="s">
        <v>121</v>
      </c>
      <c r="AQ30" s="26" t="s">
        <v>121</v>
      </c>
      <c r="AR30" s="26" t="s">
        <v>121</v>
      </c>
      <c r="AS30" s="26" t="s">
        <v>121</v>
      </c>
      <c r="AT30" s="26" t="s">
        <v>121</v>
      </c>
      <c r="AU30" s="26" t="s">
        <v>121</v>
      </c>
      <c r="AV30" s="26" t="s">
        <v>121</v>
      </c>
      <c r="AW30" s="26" t="s">
        <v>121</v>
      </c>
      <c r="AX30" s="26" t="s">
        <v>121</v>
      </c>
      <c r="AY30" s="26" t="s">
        <v>121</v>
      </c>
      <c r="AZ30" s="23" t="s">
        <v>232</v>
      </c>
      <c r="BA30" s="24"/>
      <c r="BB30" s="24"/>
      <c r="BC30" s="24"/>
      <c r="BD30" s="24"/>
      <c r="BE30" s="24"/>
      <c r="BF30" s="24"/>
      <c r="BG30" s="24"/>
      <c r="BH30" s="24"/>
      <c r="BI30" s="24"/>
      <c r="BJ30" s="25"/>
      <c r="BK30" s="23">
        <v>185</v>
      </c>
      <c r="BL30" s="24"/>
      <c r="BM30" s="25"/>
      <c r="BN30" s="23">
        <v>200</v>
      </c>
      <c r="BO30" s="24"/>
      <c r="BP30" s="25"/>
      <c r="BQ30" s="23" t="s">
        <v>97</v>
      </c>
      <c r="BR30" s="24"/>
      <c r="BS30" s="25"/>
      <c r="BT30" s="23">
        <v>29.3</v>
      </c>
      <c r="BU30" s="24"/>
      <c r="BV30" s="25"/>
      <c r="BW30" s="23" t="s">
        <v>68</v>
      </c>
      <c r="BX30" s="24"/>
      <c r="BY30" s="24"/>
      <c r="BZ30" s="25"/>
      <c r="CA30" s="35" t="s">
        <v>68</v>
      </c>
      <c r="CB30" s="36"/>
      <c r="CC30" s="37"/>
      <c r="CD30" s="23">
        <v>135</v>
      </c>
      <c r="CE30" s="24"/>
      <c r="CF30" s="25"/>
      <c r="CG30" s="23">
        <v>165</v>
      </c>
      <c r="CH30" s="24"/>
      <c r="CI30" s="24"/>
      <c r="CJ30" s="25"/>
      <c r="CK30" s="23" t="s">
        <v>68</v>
      </c>
      <c r="CL30" s="25"/>
      <c r="CM30" s="23" t="s">
        <v>224</v>
      </c>
      <c r="CN30" s="24"/>
      <c r="CO30" s="24"/>
      <c r="CP30" s="24"/>
      <c r="CQ30" s="24"/>
      <c r="CR30" s="24"/>
      <c r="CS30" s="25"/>
      <c r="CT30" s="23">
        <v>0.88</v>
      </c>
      <c r="CU30" s="24"/>
      <c r="CV30" s="24"/>
      <c r="CW30" s="24"/>
      <c r="CX30" s="24"/>
      <c r="CY30" s="24"/>
      <c r="CZ30" s="25"/>
      <c r="DA30" s="353" t="s">
        <v>81</v>
      </c>
      <c r="DB30" s="24"/>
      <c r="DC30" s="24"/>
      <c r="DD30" s="24"/>
      <c r="DE30" s="24"/>
      <c r="DF30" s="353" t="s">
        <v>81</v>
      </c>
      <c r="DG30" s="24"/>
      <c r="DH30" s="24"/>
      <c r="DI30" s="25"/>
      <c r="DJ30" s="353" t="s">
        <v>81</v>
      </c>
      <c r="DK30" s="24"/>
      <c r="DL30" s="24"/>
      <c r="DM30" s="25"/>
      <c r="DN30" s="353" t="s">
        <v>81</v>
      </c>
      <c r="DO30" s="24"/>
      <c r="DP30" s="24"/>
      <c r="DQ30" s="24"/>
      <c r="DR30" s="24"/>
      <c r="DS30" s="44"/>
      <c r="DT30" s="14">
        <v>25</v>
      </c>
    </row>
    <row r="31" spans="2:124" customFormat="1" ht="15" customHeight="1">
      <c r="B31" s="34">
        <v>4796</v>
      </c>
      <c r="C31" s="24"/>
      <c r="D31" s="24"/>
      <c r="E31" s="24"/>
      <c r="F31" s="24"/>
      <c r="G31" s="25"/>
      <c r="H31" s="26" t="s">
        <v>106</v>
      </c>
      <c r="I31" s="26" t="s">
        <v>106</v>
      </c>
      <c r="J31" s="26" t="s">
        <v>106</v>
      </c>
      <c r="K31" s="26" t="s">
        <v>106</v>
      </c>
      <c r="L31" s="26" t="s">
        <v>106</v>
      </c>
      <c r="M31" s="26" t="s">
        <v>75</v>
      </c>
      <c r="N31" s="26" t="s">
        <v>75</v>
      </c>
      <c r="O31" s="26" t="s">
        <v>75</v>
      </c>
      <c r="P31" s="26" t="s">
        <v>75</v>
      </c>
      <c r="Q31" s="26">
        <v>80</v>
      </c>
      <c r="R31" s="26">
        <v>40</v>
      </c>
      <c r="S31" s="26">
        <v>40</v>
      </c>
      <c r="T31" s="26">
        <v>40</v>
      </c>
      <c r="U31" s="26" t="s">
        <v>65</v>
      </c>
      <c r="V31" s="26" t="s">
        <v>65</v>
      </c>
      <c r="W31" s="26" t="s">
        <v>65</v>
      </c>
      <c r="X31" s="26" t="s">
        <v>65</v>
      </c>
      <c r="Y31" s="26" t="s">
        <v>65</v>
      </c>
      <c r="Z31" s="26" t="s">
        <v>65</v>
      </c>
      <c r="AA31" s="26" t="s">
        <v>65</v>
      </c>
      <c r="AB31" s="29" t="s">
        <v>261</v>
      </c>
      <c r="AC31" s="29" t="s">
        <v>77</v>
      </c>
      <c r="AD31" s="29" t="s">
        <v>77</v>
      </c>
      <c r="AE31" s="29" t="s">
        <v>77</v>
      </c>
      <c r="AF31" s="29" t="s">
        <v>77</v>
      </c>
      <c r="AG31" s="29" t="s">
        <v>77</v>
      </c>
      <c r="AH31" s="29" t="s">
        <v>77</v>
      </c>
      <c r="AI31" s="29" t="s">
        <v>77</v>
      </c>
      <c r="AJ31" s="29" t="s">
        <v>77</v>
      </c>
      <c r="AK31" s="29" t="s">
        <v>77</v>
      </c>
      <c r="AL31" s="29" t="s">
        <v>77</v>
      </c>
      <c r="AM31" s="29" t="s">
        <v>77</v>
      </c>
      <c r="AN31" s="29" t="s">
        <v>77</v>
      </c>
      <c r="AO31" s="26" t="s">
        <v>233</v>
      </c>
      <c r="AP31" s="26" t="s">
        <v>140</v>
      </c>
      <c r="AQ31" s="26" t="s">
        <v>140</v>
      </c>
      <c r="AR31" s="26" t="s">
        <v>140</v>
      </c>
      <c r="AS31" s="26" t="s">
        <v>140</v>
      </c>
      <c r="AT31" s="26" t="s">
        <v>140</v>
      </c>
      <c r="AU31" s="26" t="s">
        <v>140</v>
      </c>
      <c r="AV31" s="26" t="s">
        <v>140</v>
      </c>
      <c r="AW31" s="26" t="s">
        <v>140</v>
      </c>
      <c r="AX31" s="26" t="s">
        <v>140</v>
      </c>
      <c r="AY31" s="26" t="s">
        <v>140</v>
      </c>
      <c r="AZ31" s="26" t="s">
        <v>276</v>
      </c>
      <c r="BA31" s="26" t="s">
        <v>121</v>
      </c>
      <c r="BB31" s="26" t="s">
        <v>121</v>
      </c>
      <c r="BC31" s="26" t="s">
        <v>121</v>
      </c>
      <c r="BD31" s="26" t="s">
        <v>121</v>
      </c>
      <c r="BE31" s="26" t="s">
        <v>121</v>
      </c>
      <c r="BF31" s="26" t="s">
        <v>121</v>
      </c>
      <c r="BG31" s="26" t="s">
        <v>121</v>
      </c>
      <c r="BH31" s="26" t="s">
        <v>121</v>
      </c>
      <c r="BI31" s="26" t="s">
        <v>121</v>
      </c>
      <c r="BJ31" s="26" t="s">
        <v>121</v>
      </c>
      <c r="BK31" s="26">
        <v>200</v>
      </c>
      <c r="BL31" s="26">
        <v>200</v>
      </c>
      <c r="BM31" s="26">
        <v>200</v>
      </c>
      <c r="BN31" s="26">
        <v>200</v>
      </c>
      <c r="BO31" s="26">
        <v>200</v>
      </c>
      <c r="BP31" s="26">
        <v>200</v>
      </c>
      <c r="BQ31" s="26" t="s">
        <v>71</v>
      </c>
      <c r="BR31" s="26" t="s">
        <v>71</v>
      </c>
      <c r="BS31" s="26" t="s">
        <v>71</v>
      </c>
      <c r="BT31" s="26" t="s">
        <v>81</v>
      </c>
      <c r="BU31" s="26" t="s">
        <v>81</v>
      </c>
      <c r="BV31" s="26" t="s">
        <v>81</v>
      </c>
      <c r="BW31" s="26" t="s">
        <v>68</v>
      </c>
      <c r="BX31" s="26" t="s">
        <v>68</v>
      </c>
      <c r="BY31" s="26" t="s">
        <v>68</v>
      </c>
      <c r="BZ31" s="26" t="s">
        <v>68</v>
      </c>
      <c r="CA31" s="26" t="s">
        <v>68</v>
      </c>
      <c r="CB31" s="26" t="s">
        <v>68</v>
      </c>
      <c r="CC31" s="26" t="s">
        <v>68</v>
      </c>
      <c r="CD31" s="26">
        <v>135</v>
      </c>
      <c r="CE31" s="26">
        <v>135</v>
      </c>
      <c r="CF31" s="26">
        <v>135</v>
      </c>
      <c r="CG31" s="26">
        <v>80</v>
      </c>
      <c r="CH31" s="26">
        <v>80</v>
      </c>
      <c r="CI31" s="26">
        <v>80</v>
      </c>
      <c r="CJ31" s="26">
        <v>80</v>
      </c>
      <c r="CK31" s="26" t="s">
        <v>68</v>
      </c>
      <c r="CL31" s="26" t="s">
        <v>68</v>
      </c>
      <c r="CM31" s="26" t="s">
        <v>141</v>
      </c>
      <c r="CN31" s="26" t="s">
        <v>142</v>
      </c>
      <c r="CO31" s="26" t="s">
        <v>142</v>
      </c>
      <c r="CP31" s="26" t="s">
        <v>142</v>
      </c>
      <c r="CQ31" s="26" t="s">
        <v>142</v>
      </c>
      <c r="CR31" s="26" t="s">
        <v>142</v>
      </c>
      <c r="CS31" s="26" t="s">
        <v>142</v>
      </c>
      <c r="CT31" s="26" t="s">
        <v>143</v>
      </c>
      <c r="CU31" s="26" t="s">
        <v>143</v>
      </c>
      <c r="CV31" s="26" t="s">
        <v>143</v>
      </c>
      <c r="CW31" s="26" t="s">
        <v>143</v>
      </c>
      <c r="CX31" s="26" t="s">
        <v>143</v>
      </c>
      <c r="CY31" s="26" t="s">
        <v>143</v>
      </c>
      <c r="CZ31" s="26" t="s">
        <v>143</v>
      </c>
      <c r="DA31" s="26" t="s">
        <v>81</v>
      </c>
      <c r="DB31" s="26"/>
      <c r="DC31" s="26"/>
      <c r="DD31" s="26"/>
      <c r="DE31" s="26"/>
      <c r="DF31" s="26" t="s">
        <v>81</v>
      </c>
      <c r="DG31" s="26"/>
      <c r="DH31" s="26"/>
      <c r="DI31" s="26"/>
      <c r="DJ31" s="26" t="s">
        <v>81</v>
      </c>
      <c r="DK31" s="26"/>
      <c r="DL31" s="26"/>
      <c r="DM31" s="26"/>
      <c r="DN31" s="26" t="s">
        <v>81</v>
      </c>
      <c r="DO31" s="26"/>
      <c r="DP31" s="26"/>
      <c r="DQ31" s="26"/>
      <c r="DR31" s="26"/>
      <c r="DS31" s="27"/>
      <c r="DT31" s="14">
        <v>26</v>
      </c>
    </row>
    <row r="32" spans="2:124" customFormat="1" ht="15" customHeight="1">
      <c r="B32" s="34">
        <v>4797</v>
      </c>
      <c r="C32" s="24"/>
      <c r="D32" s="24"/>
      <c r="E32" s="24"/>
      <c r="F32" s="24"/>
      <c r="G32" s="25"/>
      <c r="H32" s="26" t="s">
        <v>161</v>
      </c>
      <c r="I32" s="26" t="s">
        <v>161</v>
      </c>
      <c r="J32" s="26" t="s">
        <v>161</v>
      </c>
      <c r="K32" s="26" t="s">
        <v>161</v>
      </c>
      <c r="L32" s="26" t="s">
        <v>161</v>
      </c>
      <c r="M32" s="26" t="s">
        <v>155</v>
      </c>
      <c r="N32" s="26" t="s">
        <v>155</v>
      </c>
      <c r="O32" s="26" t="s">
        <v>155</v>
      </c>
      <c r="P32" s="26" t="s">
        <v>155</v>
      </c>
      <c r="Q32" s="31" t="s">
        <v>156</v>
      </c>
      <c r="R32" s="31">
        <v>80</v>
      </c>
      <c r="S32" s="31">
        <v>80</v>
      </c>
      <c r="T32" s="31">
        <v>80</v>
      </c>
      <c r="U32" s="31" t="s">
        <v>65</v>
      </c>
      <c r="V32" s="31" t="s">
        <v>65</v>
      </c>
      <c r="W32" s="31" t="s">
        <v>65</v>
      </c>
      <c r="X32" s="31" t="s">
        <v>65</v>
      </c>
      <c r="Y32" s="31" t="s">
        <v>65</v>
      </c>
      <c r="Z32" s="31" t="s">
        <v>65</v>
      </c>
      <c r="AA32" s="31" t="s">
        <v>65</v>
      </c>
      <c r="AB32" s="29" t="s">
        <v>261</v>
      </c>
      <c r="AC32" s="29" t="s">
        <v>77</v>
      </c>
      <c r="AD32" s="29" t="s">
        <v>77</v>
      </c>
      <c r="AE32" s="29" t="s">
        <v>77</v>
      </c>
      <c r="AF32" s="29" t="s">
        <v>77</v>
      </c>
      <c r="AG32" s="29" t="s">
        <v>77</v>
      </c>
      <c r="AH32" s="29" t="s">
        <v>77</v>
      </c>
      <c r="AI32" s="29" t="s">
        <v>77</v>
      </c>
      <c r="AJ32" s="29" t="s">
        <v>77</v>
      </c>
      <c r="AK32" s="29" t="s">
        <v>77</v>
      </c>
      <c r="AL32" s="29" t="s">
        <v>77</v>
      </c>
      <c r="AM32" s="29" t="s">
        <v>77</v>
      </c>
      <c r="AN32" s="29" t="s">
        <v>77</v>
      </c>
      <c r="AO32" s="31" t="s">
        <v>275</v>
      </c>
      <c r="AP32" s="31" t="s">
        <v>158</v>
      </c>
      <c r="AQ32" s="31" t="s">
        <v>158</v>
      </c>
      <c r="AR32" s="31" t="s">
        <v>158</v>
      </c>
      <c r="AS32" s="31" t="s">
        <v>158</v>
      </c>
      <c r="AT32" s="31" t="s">
        <v>158</v>
      </c>
      <c r="AU32" s="31" t="s">
        <v>158</v>
      </c>
      <c r="AV32" s="31" t="s">
        <v>158</v>
      </c>
      <c r="AW32" s="31" t="s">
        <v>158</v>
      </c>
      <c r="AX32" s="31" t="s">
        <v>158</v>
      </c>
      <c r="AY32" s="31" t="s">
        <v>158</v>
      </c>
      <c r="AZ32" s="31" t="s">
        <v>279</v>
      </c>
      <c r="BA32" s="31" t="s">
        <v>162</v>
      </c>
      <c r="BB32" s="31" t="s">
        <v>162</v>
      </c>
      <c r="BC32" s="31" t="s">
        <v>162</v>
      </c>
      <c r="BD32" s="31" t="s">
        <v>162</v>
      </c>
      <c r="BE32" s="31" t="s">
        <v>162</v>
      </c>
      <c r="BF32" s="31" t="s">
        <v>162</v>
      </c>
      <c r="BG32" s="31" t="s">
        <v>162</v>
      </c>
      <c r="BH32" s="31" t="s">
        <v>162</v>
      </c>
      <c r="BI32" s="31" t="s">
        <v>162</v>
      </c>
      <c r="BJ32" s="31" t="s">
        <v>162</v>
      </c>
      <c r="BK32" s="31">
        <v>200</v>
      </c>
      <c r="BL32" s="31">
        <v>200</v>
      </c>
      <c r="BM32" s="31">
        <v>200</v>
      </c>
      <c r="BN32" s="31">
        <v>1030</v>
      </c>
      <c r="BO32" s="31">
        <v>1030</v>
      </c>
      <c r="BP32" s="31">
        <v>1030</v>
      </c>
      <c r="BQ32" s="31" t="s">
        <v>71</v>
      </c>
      <c r="BR32" s="31" t="s">
        <v>71</v>
      </c>
      <c r="BS32" s="31" t="s">
        <v>71</v>
      </c>
      <c r="BT32" s="31" t="s">
        <v>81</v>
      </c>
      <c r="BU32" s="31" t="s">
        <v>81</v>
      </c>
      <c r="BV32" s="31" t="s">
        <v>81</v>
      </c>
      <c r="BW32" s="31" t="s">
        <v>81</v>
      </c>
      <c r="BX32" s="31" t="s">
        <v>81</v>
      </c>
      <c r="BY32" s="31" t="s">
        <v>81</v>
      </c>
      <c r="BZ32" s="31" t="s">
        <v>81</v>
      </c>
      <c r="CA32" s="31" t="s">
        <v>248</v>
      </c>
      <c r="CB32" s="31" t="s">
        <v>163</v>
      </c>
      <c r="CC32" s="31" t="s">
        <v>163</v>
      </c>
      <c r="CD32" s="31" t="s">
        <v>251</v>
      </c>
      <c r="CE32" s="31" t="s">
        <v>159</v>
      </c>
      <c r="CF32" s="31" t="s">
        <v>159</v>
      </c>
      <c r="CG32" s="31" t="s">
        <v>249</v>
      </c>
      <c r="CH32" s="31" t="s">
        <v>160</v>
      </c>
      <c r="CI32" s="31" t="s">
        <v>160</v>
      </c>
      <c r="CJ32" s="31" t="s">
        <v>160</v>
      </c>
      <c r="CK32" s="31"/>
      <c r="CL32" s="31"/>
      <c r="CM32" s="31" t="s">
        <v>122</v>
      </c>
      <c r="CN32" s="31" t="s">
        <v>123</v>
      </c>
      <c r="CO32" s="31" t="s">
        <v>123</v>
      </c>
      <c r="CP32" s="31" t="s">
        <v>123</v>
      </c>
      <c r="CQ32" s="31" t="s">
        <v>123</v>
      </c>
      <c r="CR32" s="31" t="s">
        <v>123</v>
      </c>
      <c r="CS32" s="31" t="s">
        <v>123</v>
      </c>
      <c r="CT32" s="31" t="s">
        <v>252</v>
      </c>
      <c r="CU32" s="31" t="s">
        <v>164</v>
      </c>
      <c r="CV32" s="31" t="s">
        <v>164</v>
      </c>
      <c r="CW32" s="31" t="s">
        <v>164</v>
      </c>
      <c r="CX32" s="31" t="s">
        <v>164</v>
      </c>
      <c r="CY32" s="31" t="s">
        <v>164</v>
      </c>
      <c r="CZ32" s="31" t="s">
        <v>164</v>
      </c>
      <c r="DA32" s="26" t="s">
        <v>81</v>
      </c>
      <c r="DB32" s="26"/>
      <c r="DC32" s="26"/>
      <c r="DD32" s="26"/>
      <c r="DE32" s="26"/>
      <c r="DF32" s="26" t="s">
        <v>81</v>
      </c>
      <c r="DG32" s="26"/>
      <c r="DH32" s="26"/>
      <c r="DI32" s="26"/>
      <c r="DJ32" s="26" t="s">
        <v>81</v>
      </c>
      <c r="DK32" s="26"/>
      <c r="DL32" s="26"/>
      <c r="DM32" s="26"/>
      <c r="DN32" s="26" t="s">
        <v>81</v>
      </c>
      <c r="DO32" s="26"/>
      <c r="DP32" s="26"/>
      <c r="DQ32" s="26"/>
      <c r="DR32" s="26"/>
      <c r="DS32" s="27"/>
      <c r="DT32" s="14">
        <v>27</v>
      </c>
    </row>
    <row r="33" spans="2:130" customFormat="1" ht="15" customHeight="1">
      <c r="B33" s="34">
        <v>4798</v>
      </c>
      <c r="C33" s="24"/>
      <c r="D33" s="24"/>
      <c r="E33" s="24"/>
      <c r="F33" s="24"/>
      <c r="G33" s="25"/>
      <c r="H33" s="26" t="s">
        <v>102</v>
      </c>
      <c r="I33" s="26" t="s">
        <v>102</v>
      </c>
      <c r="J33" s="26" t="s">
        <v>102</v>
      </c>
      <c r="K33" s="26" t="s">
        <v>102</v>
      </c>
      <c r="L33" s="26" t="s">
        <v>102</v>
      </c>
      <c r="M33" s="46" t="s">
        <v>294</v>
      </c>
      <c r="N33" s="46" t="s">
        <v>181</v>
      </c>
      <c r="O33" s="46" t="s">
        <v>181</v>
      </c>
      <c r="P33" s="46" t="s">
        <v>181</v>
      </c>
      <c r="Q33" s="31" t="s">
        <v>288</v>
      </c>
      <c r="R33" s="31" t="s">
        <v>167</v>
      </c>
      <c r="S33" s="31" t="s">
        <v>167</v>
      </c>
      <c r="T33" s="31" t="s">
        <v>167</v>
      </c>
      <c r="U33" s="31" t="s">
        <v>65</v>
      </c>
      <c r="V33" s="31" t="s">
        <v>65</v>
      </c>
      <c r="W33" s="31" t="s">
        <v>65</v>
      </c>
      <c r="X33" s="31" t="s">
        <v>65</v>
      </c>
      <c r="Y33" s="31" t="s">
        <v>65</v>
      </c>
      <c r="Z33" s="31" t="s">
        <v>65</v>
      </c>
      <c r="AA33" s="31" t="s">
        <v>65</v>
      </c>
      <c r="AB33" s="29" t="s">
        <v>261</v>
      </c>
      <c r="AC33" s="29" t="s">
        <v>77</v>
      </c>
      <c r="AD33" s="29" t="s">
        <v>77</v>
      </c>
      <c r="AE33" s="29" t="s">
        <v>77</v>
      </c>
      <c r="AF33" s="29" t="s">
        <v>77</v>
      </c>
      <c r="AG33" s="29" t="s">
        <v>77</v>
      </c>
      <c r="AH33" s="29" t="s">
        <v>77</v>
      </c>
      <c r="AI33" s="29" t="s">
        <v>77</v>
      </c>
      <c r="AJ33" s="29" t="s">
        <v>77</v>
      </c>
      <c r="AK33" s="29" t="s">
        <v>77</v>
      </c>
      <c r="AL33" s="29" t="s">
        <v>77</v>
      </c>
      <c r="AM33" s="29" t="s">
        <v>77</v>
      </c>
      <c r="AN33" s="29" t="s">
        <v>77</v>
      </c>
      <c r="AO33" s="31" t="s">
        <v>275</v>
      </c>
      <c r="AP33" s="31" t="s">
        <v>158</v>
      </c>
      <c r="AQ33" s="31" t="s">
        <v>158</v>
      </c>
      <c r="AR33" s="31" t="s">
        <v>158</v>
      </c>
      <c r="AS33" s="31" t="s">
        <v>158</v>
      </c>
      <c r="AT33" s="31" t="s">
        <v>158</v>
      </c>
      <c r="AU33" s="31" t="s">
        <v>158</v>
      </c>
      <c r="AV33" s="31" t="s">
        <v>158</v>
      </c>
      <c r="AW33" s="31" t="s">
        <v>158</v>
      </c>
      <c r="AX33" s="31" t="s">
        <v>158</v>
      </c>
      <c r="AY33" s="31" t="s">
        <v>158</v>
      </c>
      <c r="AZ33" s="31" t="s">
        <v>225</v>
      </c>
      <c r="BA33" s="31" t="s">
        <v>182</v>
      </c>
      <c r="BB33" s="31" t="s">
        <v>182</v>
      </c>
      <c r="BC33" s="31" t="s">
        <v>182</v>
      </c>
      <c r="BD33" s="31" t="s">
        <v>182</v>
      </c>
      <c r="BE33" s="31" t="s">
        <v>182</v>
      </c>
      <c r="BF33" s="31" t="s">
        <v>182</v>
      </c>
      <c r="BG33" s="31" t="s">
        <v>182</v>
      </c>
      <c r="BH33" s="31" t="s">
        <v>182</v>
      </c>
      <c r="BI33" s="31" t="s">
        <v>182</v>
      </c>
      <c r="BJ33" s="31" t="s">
        <v>182</v>
      </c>
      <c r="BK33" s="31">
        <v>200</v>
      </c>
      <c r="BL33" s="31">
        <v>200</v>
      </c>
      <c r="BM33" s="31">
        <v>200</v>
      </c>
      <c r="BN33" s="31">
        <v>1030</v>
      </c>
      <c r="BO33" s="31">
        <v>1030</v>
      </c>
      <c r="BP33" s="31">
        <v>1030</v>
      </c>
      <c r="BQ33" s="31" t="s">
        <v>97</v>
      </c>
      <c r="BR33" s="31" t="s">
        <v>80</v>
      </c>
      <c r="BS33" s="31" t="s">
        <v>80</v>
      </c>
      <c r="BT33" s="31" t="s">
        <v>81</v>
      </c>
      <c r="BU33" s="31" t="s">
        <v>81</v>
      </c>
      <c r="BV33" s="31" t="s">
        <v>81</v>
      </c>
      <c r="BW33" s="31" t="s">
        <v>68</v>
      </c>
      <c r="BX33" s="31" t="s">
        <v>81</v>
      </c>
      <c r="BY33" s="31" t="s">
        <v>81</v>
      </c>
      <c r="BZ33" s="31" t="s">
        <v>81</v>
      </c>
      <c r="CA33" s="31" t="s">
        <v>68</v>
      </c>
      <c r="CB33" s="31" t="s">
        <v>169</v>
      </c>
      <c r="CC33" s="31" t="s">
        <v>169</v>
      </c>
      <c r="CD33" s="31" t="s">
        <v>251</v>
      </c>
      <c r="CE33" s="31" t="s">
        <v>159</v>
      </c>
      <c r="CF33" s="31" t="s">
        <v>159</v>
      </c>
      <c r="CG33" s="31" t="s">
        <v>249</v>
      </c>
      <c r="CH33" s="31" t="s">
        <v>160</v>
      </c>
      <c r="CI33" s="31" t="s">
        <v>160</v>
      </c>
      <c r="CJ33" s="31" t="s">
        <v>160</v>
      </c>
      <c r="CK33" s="31" t="s">
        <v>68</v>
      </c>
      <c r="CL33" s="31" t="s">
        <v>170</v>
      </c>
      <c r="CM33" s="31" t="s">
        <v>122</v>
      </c>
      <c r="CN33" s="31" t="s">
        <v>123</v>
      </c>
      <c r="CO33" s="31" t="s">
        <v>123</v>
      </c>
      <c r="CP33" s="31" t="s">
        <v>123</v>
      </c>
      <c r="CQ33" s="31" t="s">
        <v>123</v>
      </c>
      <c r="CR33" s="31" t="s">
        <v>123</v>
      </c>
      <c r="CS33" s="31" t="s">
        <v>123</v>
      </c>
      <c r="CT33" s="31" t="s">
        <v>253</v>
      </c>
      <c r="CU33" s="31" t="s">
        <v>171</v>
      </c>
      <c r="CV33" s="31" t="s">
        <v>171</v>
      </c>
      <c r="CW33" s="31" t="s">
        <v>171</v>
      </c>
      <c r="CX33" s="31" t="s">
        <v>171</v>
      </c>
      <c r="CY33" s="31" t="s">
        <v>171</v>
      </c>
      <c r="CZ33" s="31" t="s">
        <v>171</v>
      </c>
      <c r="DA33" s="26" t="s">
        <v>81</v>
      </c>
      <c r="DB33" s="26"/>
      <c r="DC33" s="26"/>
      <c r="DD33" s="26"/>
      <c r="DE33" s="26"/>
      <c r="DF33" s="26" t="s">
        <v>81</v>
      </c>
      <c r="DG33" s="26"/>
      <c r="DH33" s="26"/>
      <c r="DI33" s="26"/>
      <c r="DJ33" s="26" t="s">
        <v>81</v>
      </c>
      <c r="DK33" s="26"/>
      <c r="DL33" s="26"/>
      <c r="DM33" s="26"/>
      <c r="DN33" s="26" t="s">
        <v>81</v>
      </c>
      <c r="DO33" s="26"/>
      <c r="DP33" s="26"/>
      <c r="DQ33" s="26"/>
      <c r="DR33" s="26"/>
      <c r="DS33" s="27"/>
      <c r="DT33" s="14">
        <v>28</v>
      </c>
    </row>
    <row r="34" spans="2:130" customFormat="1" ht="15" customHeight="1">
      <c r="B34" s="34">
        <v>4799</v>
      </c>
      <c r="C34" s="24"/>
      <c r="D34" s="24"/>
      <c r="E34" s="24"/>
      <c r="F34" s="24"/>
      <c r="G34" s="25"/>
      <c r="H34" s="26" t="s">
        <v>102</v>
      </c>
      <c r="I34" s="26" t="s">
        <v>102</v>
      </c>
      <c r="J34" s="26" t="s">
        <v>102</v>
      </c>
      <c r="K34" s="26" t="s">
        <v>102</v>
      </c>
      <c r="L34" s="26" t="s">
        <v>102</v>
      </c>
      <c r="M34" s="26" t="s">
        <v>165</v>
      </c>
      <c r="N34" s="26" t="s">
        <v>165</v>
      </c>
      <c r="O34" s="26" t="s">
        <v>165</v>
      </c>
      <c r="P34" s="26" t="s">
        <v>165</v>
      </c>
      <c r="Q34" s="31" t="s">
        <v>166</v>
      </c>
      <c r="R34" s="31" t="s">
        <v>167</v>
      </c>
      <c r="S34" s="31" t="s">
        <v>167</v>
      </c>
      <c r="T34" s="31" t="s">
        <v>167</v>
      </c>
      <c r="U34" s="31" t="s">
        <v>65</v>
      </c>
      <c r="V34" s="31" t="s">
        <v>65</v>
      </c>
      <c r="W34" s="31" t="s">
        <v>65</v>
      </c>
      <c r="X34" s="31" t="s">
        <v>65</v>
      </c>
      <c r="Y34" s="31" t="s">
        <v>65</v>
      </c>
      <c r="Z34" s="31" t="s">
        <v>65</v>
      </c>
      <c r="AA34" s="31" t="s">
        <v>65</v>
      </c>
      <c r="AB34" s="29" t="s">
        <v>261</v>
      </c>
      <c r="AC34" s="29" t="s">
        <v>77</v>
      </c>
      <c r="AD34" s="29" t="s">
        <v>77</v>
      </c>
      <c r="AE34" s="29" t="s">
        <v>77</v>
      </c>
      <c r="AF34" s="29" t="s">
        <v>77</v>
      </c>
      <c r="AG34" s="29" t="s">
        <v>77</v>
      </c>
      <c r="AH34" s="29" t="s">
        <v>77</v>
      </c>
      <c r="AI34" s="29" t="s">
        <v>77</v>
      </c>
      <c r="AJ34" s="29" t="s">
        <v>77</v>
      </c>
      <c r="AK34" s="29" t="s">
        <v>77</v>
      </c>
      <c r="AL34" s="29" t="s">
        <v>77</v>
      </c>
      <c r="AM34" s="29" t="s">
        <v>77</v>
      </c>
      <c r="AN34" s="29" t="s">
        <v>77</v>
      </c>
      <c r="AO34" s="31" t="s">
        <v>226</v>
      </c>
      <c r="AP34" s="31" t="s">
        <v>168</v>
      </c>
      <c r="AQ34" s="31" t="s">
        <v>168</v>
      </c>
      <c r="AR34" s="31" t="s">
        <v>168</v>
      </c>
      <c r="AS34" s="31" t="s">
        <v>168</v>
      </c>
      <c r="AT34" s="31" t="s">
        <v>168</v>
      </c>
      <c r="AU34" s="31" t="s">
        <v>168</v>
      </c>
      <c r="AV34" s="31" t="s">
        <v>168</v>
      </c>
      <c r="AW34" s="31" t="s">
        <v>168</v>
      </c>
      <c r="AX34" s="31" t="s">
        <v>168</v>
      </c>
      <c r="AY34" s="31" t="s">
        <v>168</v>
      </c>
      <c r="AZ34" s="23" t="s">
        <v>232</v>
      </c>
      <c r="BA34" s="24"/>
      <c r="BB34" s="24"/>
      <c r="BC34" s="24"/>
      <c r="BD34" s="24"/>
      <c r="BE34" s="24"/>
      <c r="BF34" s="24"/>
      <c r="BG34" s="24"/>
      <c r="BH34" s="24"/>
      <c r="BI34" s="24"/>
      <c r="BJ34" s="25"/>
      <c r="BK34" s="31">
        <v>200</v>
      </c>
      <c r="BL34" s="31">
        <v>200</v>
      </c>
      <c r="BM34" s="31">
        <v>200</v>
      </c>
      <c r="BN34" s="31" t="s">
        <v>259</v>
      </c>
      <c r="BO34" s="31">
        <v>1030</v>
      </c>
      <c r="BP34" s="31">
        <v>1030</v>
      </c>
      <c r="BQ34" s="31" t="s">
        <v>97</v>
      </c>
      <c r="BR34" s="31" t="s">
        <v>80</v>
      </c>
      <c r="BS34" s="31" t="s">
        <v>80</v>
      </c>
      <c r="BT34" s="31" t="s">
        <v>81</v>
      </c>
      <c r="BU34" s="31" t="s">
        <v>81</v>
      </c>
      <c r="BV34" s="31" t="s">
        <v>81</v>
      </c>
      <c r="BW34" s="31" t="s">
        <v>68</v>
      </c>
      <c r="BX34" s="31" t="s">
        <v>81</v>
      </c>
      <c r="BY34" s="31" t="s">
        <v>81</v>
      </c>
      <c r="BZ34" s="31" t="s">
        <v>81</v>
      </c>
      <c r="CA34" s="31" t="s">
        <v>68</v>
      </c>
      <c r="CB34" s="31" t="s">
        <v>169</v>
      </c>
      <c r="CC34" s="31" t="s">
        <v>169</v>
      </c>
      <c r="CD34" s="31" t="s">
        <v>251</v>
      </c>
      <c r="CE34" s="31" t="s">
        <v>159</v>
      </c>
      <c r="CF34" s="31" t="s">
        <v>159</v>
      </c>
      <c r="CG34" s="31" t="s">
        <v>249</v>
      </c>
      <c r="CH34" s="31" t="s">
        <v>160</v>
      </c>
      <c r="CI34" s="31" t="s">
        <v>160</v>
      </c>
      <c r="CJ34" s="31" t="s">
        <v>160</v>
      </c>
      <c r="CK34" s="31" t="s">
        <v>68</v>
      </c>
      <c r="CL34" s="31" t="s">
        <v>170</v>
      </c>
      <c r="CM34" s="31" t="s">
        <v>122</v>
      </c>
      <c r="CN34" s="31" t="s">
        <v>123</v>
      </c>
      <c r="CO34" s="31" t="s">
        <v>123</v>
      </c>
      <c r="CP34" s="31" t="s">
        <v>123</v>
      </c>
      <c r="CQ34" s="31" t="s">
        <v>123</v>
      </c>
      <c r="CR34" s="31" t="s">
        <v>123</v>
      </c>
      <c r="CS34" s="31" t="s">
        <v>123</v>
      </c>
      <c r="CT34" s="31" t="s">
        <v>253</v>
      </c>
      <c r="CU34" s="31" t="s">
        <v>171</v>
      </c>
      <c r="CV34" s="31" t="s">
        <v>171</v>
      </c>
      <c r="CW34" s="31" t="s">
        <v>171</v>
      </c>
      <c r="CX34" s="31" t="s">
        <v>171</v>
      </c>
      <c r="CY34" s="31" t="s">
        <v>171</v>
      </c>
      <c r="CZ34" s="31" t="s">
        <v>171</v>
      </c>
      <c r="DA34" s="26" t="s">
        <v>81</v>
      </c>
      <c r="DB34" s="26"/>
      <c r="DC34" s="26"/>
      <c r="DD34" s="26"/>
      <c r="DE34" s="26"/>
      <c r="DF34" s="26" t="s">
        <v>81</v>
      </c>
      <c r="DG34" s="26"/>
      <c r="DH34" s="26"/>
      <c r="DI34" s="26"/>
      <c r="DJ34" s="26" t="s">
        <v>81</v>
      </c>
      <c r="DK34" s="26"/>
      <c r="DL34" s="26"/>
      <c r="DM34" s="26"/>
      <c r="DN34" s="26" t="s">
        <v>81</v>
      </c>
      <c r="DO34" s="26"/>
      <c r="DP34" s="26"/>
      <c r="DQ34" s="26"/>
      <c r="DR34" s="26"/>
      <c r="DS34" s="27"/>
      <c r="DT34" s="14">
        <v>29</v>
      </c>
    </row>
    <row r="35" spans="2:130" customFormat="1" ht="15" customHeight="1">
      <c r="B35" s="34">
        <v>4800</v>
      </c>
      <c r="C35" s="24"/>
      <c r="D35" s="24"/>
      <c r="E35" s="24"/>
      <c r="F35" s="24"/>
      <c r="G35" s="25"/>
      <c r="H35" s="26" t="s">
        <v>102</v>
      </c>
      <c r="I35" s="26" t="s">
        <v>102</v>
      </c>
      <c r="J35" s="26" t="s">
        <v>102</v>
      </c>
      <c r="K35" s="26" t="s">
        <v>102</v>
      </c>
      <c r="L35" s="26" t="s">
        <v>102</v>
      </c>
      <c r="M35" s="26" t="s">
        <v>155</v>
      </c>
      <c r="N35" s="26" t="s">
        <v>155</v>
      </c>
      <c r="O35" s="26" t="s">
        <v>155</v>
      </c>
      <c r="P35" s="26" t="s">
        <v>155</v>
      </c>
      <c r="Q35" s="31">
        <v>80</v>
      </c>
      <c r="R35" s="31">
        <v>80</v>
      </c>
      <c r="S35" s="31">
        <v>80</v>
      </c>
      <c r="T35" s="31">
        <v>80</v>
      </c>
      <c r="U35" s="31" t="s">
        <v>65</v>
      </c>
      <c r="V35" s="31" t="s">
        <v>65</v>
      </c>
      <c r="W35" s="31" t="s">
        <v>65</v>
      </c>
      <c r="X35" s="31" t="s">
        <v>65</v>
      </c>
      <c r="Y35" s="31" t="s">
        <v>65</v>
      </c>
      <c r="Z35" s="31" t="s">
        <v>65</v>
      </c>
      <c r="AA35" s="31" t="s">
        <v>65</v>
      </c>
      <c r="AB35" s="29" t="s">
        <v>261</v>
      </c>
      <c r="AC35" s="29" t="s">
        <v>77</v>
      </c>
      <c r="AD35" s="29" t="s">
        <v>77</v>
      </c>
      <c r="AE35" s="29" t="s">
        <v>77</v>
      </c>
      <c r="AF35" s="29" t="s">
        <v>77</v>
      </c>
      <c r="AG35" s="29" t="s">
        <v>77</v>
      </c>
      <c r="AH35" s="29" t="s">
        <v>77</v>
      </c>
      <c r="AI35" s="29" t="s">
        <v>77</v>
      </c>
      <c r="AJ35" s="29" t="s">
        <v>77</v>
      </c>
      <c r="AK35" s="29" t="s">
        <v>77</v>
      </c>
      <c r="AL35" s="29" t="s">
        <v>77</v>
      </c>
      <c r="AM35" s="29" t="s">
        <v>77</v>
      </c>
      <c r="AN35" s="29" t="s">
        <v>77</v>
      </c>
      <c r="AO35" s="31" t="s">
        <v>275</v>
      </c>
      <c r="AP35" s="31" t="s">
        <v>158</v>
      </c>
      <c r="AQ35" s="31" t="s">
        <v>158</v>
      </c>
      <c r="AR35" s="31" t="s">
        <v>158</v>
      </c>
      <c r="AS35" s="31" t="s">
        <v>158</v>
      </c>
      <c r="AT35" s="31" t="s">
        <v>158</v>
      </c>
      <c r="AU35" s="31" t="s">
        <v>158</v>
      </c>
      <c r="AV35" s="31" t="s">
        <v>158</v>
      </c>
      <c r="AW35" s="31" t="s">
        <v>158</v>
      </c>
      <c r="AX35" s="31" t="s">
        <v>158</v>
      </c>
      <c r="AY35" s="31" t="s">
        <v>158</v>
      </c>
      <c r="AZ35" s="31" t="s">
        <v>280</v>
      </c>
      <c r="BA35" s="31" t="s">
        <v>175</v>
      </c>
      <c r="BB35" s="31" t="s">
        <v>175</v>
      </c>
      <c r="BC35" s="31" t="s">
        <v>175</v>
      </c>
      <c r="BD35" s="31" t="s">
        <v>175</v>
      </c>
      <c r="BE35" s="31" t="s">
        <v>175</v>
      </c>
      <c r="BF35" s="31" t="s">
        <v>175</v>
      </c>
      <c r="BG35" s="31" t="s">
        <v>175</v>
      </c>
      <c r="BH35" s="31" t="s">
        <v>175</v>
      </c>
      <c r="BI35" s="31" t="s">
        <v>175</v>
      </c>
      <c r="BJ35" s="31" t="s">
        <v>175</v>
      </c>
      <c r="BK35" s="31">
        <v>200</v>
      </c>
      <c r="BL35" s="31">
        <v>200</v>
      </c>
      <c r="BM35" s="31">
        <v>200</v>
      </c>
      <c r="BN35" s="31">
        <v>1030</v>
      </c>
      <c r="BO35" s="31">
        <v>1030</v>
      </c>
      <c r="BP35" s="31">
        <v>1030</v>
      </c>
      <c r="BQ35" s="31" t="s">
        <v>71</v>
      </c>
      <c r="BR35" s="31" t="s">
        <v>71</v>
      </c>
      <c r="BS35" s="31" t="s">
        <v>71</v>
      </c>
      <c r="BT35" s="31" t="s">
        <v>81</v>
      </c>
      <c r="BU35" s="31" t="s">
        <v>81</v>
      </c>
      <c r="BV35" s="31" t="s">
        <v>81</v>
      </c>
      <c r="BW35" s="31" t="s">
        <v>68</v>
      </c>
      <c r="BX35" s="31" t="s">
        <v>68</v>
      </c>
      <c r="BY35" s="31" t="s">
        <v>68</v>
      </c>
      <c r="BZ35" s="31" t="s">
        <v>68</v>
      </c>
      <c r="CA35" s="31" t="s">
        <v>68</v>
      </c>
      <c r="CB35" s="31" t="s">
        <v>68</v>
      </c>
      <c r="CC35" s="31" t="s">
        <v>68</v>
      </c>
      <c r="CD35" s="31">
        <v>134</v>
      </c>
      <c r="CE35" s="31">
        <v>134</v>
      </c>
      <c r="CF35" s="31">
        <v>134</v>
      </c>
      <c r="CG35" s="31">
        <v>458</v>
      </c>
      <c r="CH35" s="31">
        <v>458</v>
      </c>
      <c r="CI35" s="31">
        <v>458</v>
      </c>
      <c r="CJ35" s="31">
        <v>458</v>
      </c>
      <c r="CK35" s="31" t="s">
        <v>68</v>
      </c>
      <c r="CL35" s="31" t="s">
        <v>68</v>
      </c>
      <c r="CM35" s="31" t="s">
        <v>176</v>
      </c>
      <c r="CN35" s="31" t="s">
        <v>177</v>
      </c>
      <c r="CO35" s="31" t="s">
        <v>177</v>
      </c>
      <c r="CP35" s="31" t="s">
        <v>177</v>
      </c>
      <c r="CQ35" s="31" t="s">
        <v>177</v>
      </c>
      <c r="CR35" s="31" t="s">
        <v>177</v>
      </c>
      <c r="CS35" s="31" t="s">
        <v>177</v>
      </c>
      <c r="CT35" s="33">
        <v>8846</v>
      </c>
      <c r="CU35" s="33">
        <v>8846</v>
      </c>
      <c r="CV35" s="33">
        <v>8846</v>
      </c>
      <c r="CW35" s="33">
        <v>8846</v>
      </c>
      <c r="CX35" s="33">
        <v>8846</v>
      </c>
      <c r="CY35" s="33">
        <v>8846</v>
      </c>
      <c r="CZ35" s="33">
        <v>8846</v>
      </c>
      <c r="DA35" s="26" t="s">
        <v>81</v>
      </c>
      <c r="DB35" s="26"/>
      <c r="DC35" s="26"/>
      <c r="DD35" s="26"/>
      <c r="DE35" s="26"/>
      <c r="DF35" s="26" t="s">
        <v>81</v>
      </c>
      <c r="DG35" s="26"/>
      <c r="DH35" s="26"/>
      <c r="DI35" s="26"/>
      <c r="DJ35" s="26" t="s">
        <v>81</v>
      </c>
      <c r="DK35" s="26"/>
      <c r="DL35" s="26"/>
      <c r="DM35" s="26"/>
      <c r="DN35" s="26" t="s">
        <v>81</v>
      </c>
      <c r="DO35" s="26"/>
      <c r="DP35" s="26"/>
      <c r="DQ35" s="26"/>
      <c r="DR35" s="26"/>
      <c r="DS35" s="27"/>
      <c r="DT35" s="14">
        <v>30</v>
      </c>
    </row>
    <row r="36" spans="2:130" customFormat="1" ht="15" customHeight="1">
      <c r="B36" s="34">
        <v>4801</v>
      </c>
      <c r="C36" s="24"/>
      <c r="D36" s="24"/>
      <c r="E36" s="24"/>
      <c r="F36" s="24"/>
      <c r="G36" s="25"/>
      <c r="H36" s="26" t="s">
        <v>102</v>
      </c>
      <c r="I36" s="26" t="s">
        <v>102</v>
      </c>
      <c r="J36" s="26" t="s">
        <v>102</v>
      </c>
      <c r="K36" s="26" t="s">
        <v>102</v>
      </c>
      <c r="L36" s="26" t="s">
        <v>102</v>
      </c>
      <c r="M36" s="26" t="s">
        <v>155</v>
      </c>
      <c r="N36" s="26" t="s">
        <v>155</v>
      </c>
      <c r="O36" s="26" t="s">
        <v>155</v>
      </c>
      <c r="P36" s="26" t="s">
        <v>155</v>
      </c>
      <c r="Q36" s="31">
        <v>80</v>
      </c>
      <c r="R36" s="31">
        <v>80</v>
      </c>
      <c r="S36" s="31">
        <v>80</v>
      </c>
      <c r="T36" s="31">
        <v>80</v>
      </c>
      <c r="U36" s="31" t="s">
        <v>65</v>
      </c>
      <c r="V36" s="31" t="s">
        <v>65</v>
      </c>
      <c r="W36" s="31" t="s">
        <v>65</v>
      </c>
      <c r="X36" s="31" t="s">
        <v>65</v>
      </c>
      <c r="Y36" s="31" t="s">
        <v>65</v>
      </c>
      <c r="Z36" s="31" t="s">
        <v>65</v>
      </c>
      <c r="AA36" s="31" t="s">
        <v>65</v>
      </c>
      <c r="AB36" s="29" t="s">
        <v>261</v>
      </c>
      <c r="AC36" s="29" t="s">
        <v>77</v>
      </c>
      <c r="AD36" s="29" t="s">
        <v>77</v>
      </c>
      <c r="AE36" s="29" t="s">
        <v>77</v>
      </c>
      <c r="AF36" s="29" t="s">
        <v>77</v>
      </c>
      <c r="AG36" s="29" t="s">
        <v>77</v>
      </c>
      <c r="AH36" s="29" t="s">
        <v>77</v>
      </c>
      <c r="AI36" s="29" t="s">
        <v>77</v>
      </c>
      <c r="AJ36" s="29" t="s">
        <v>77</v>
      </c>
      <c r="AK36" s="29" t="s">
        <v>77</v>
      </c>
      <c r="AL36" s="29" t="s">
        <v>77</v>
      </c>
      <c r="AM36" s="29" t="s">
        <v>77</v>
      </c>
      <c r="AN36" s="29" t="s">
        <v>77</v>
      </c>
      <c r="AO36" s="31" t="s">
        <v>275</v>
      </c>
      <c r="AP36" s="31" t="s">
        <v>158</v>
      </c>
      <c r="AQ36" s="31" t="s">
        <v>158</v>
      </c>
      <c r="AR36" s="31" t="s">
        <v>158</v>
      </c>
      <c r="AS36" s="31" t="s">
        <v>158</v>
      </c>
      <c r="AT36" s="31" t="s">
        <v>158</v>
      </c>
      <c r="AU36" s="31" t="s">
        <v>158</v>
      </c>
      <c r="AV36" s="31" t="s">
        <v>158</v>
      </c>
      <c r="AW36" s="31" t="s">
        <v>158</v>
      </c>
      <c r="AX36" s="31" t="s">
        <v>158</v>
      </c>
      <c r="AY36" s="31" t="s">
        <v>158</v>
      </c>
      <c r="AZ36" s="31" t="s">
        <v>281</v>
      </c>
      <c r="BA36" s="31" t="s">
        <v>178</v>
      </c>
      <c r="BB36" s="31" t="s">
        <v>178</v>
      </c>
      <c r="BC36" s="31" t="s">
        <v>178</v>
      </c>
      <c r="BD36" s="31" t="s">
        <v>178</v>
      </c>
      <c r="BE36" s="31" t="s">
        <v>178</v>
      </c>
      <c r="BF36" s="31" t="s">
        <v>178</v>
      </c>
      <c r="BG36" s="31" t="s">
        <v>178</v>
      </c>
      <c r="BH36" s="31" t="s">
        <v>178</v>
      </c>
      <c r="BI36" s="31" t="s">
        <v>178</v>
      </c>
      <c r="BJ36" s="31" t="s">
        <v>178</v>
      </c>
      <c r="BK36" s="31">
        <v>200</v>
      </c>
      <c r="BL36" s="31">
        <v>200</v>
      </c>
      <c r="BM36" s="31">
        <v>200</v>
      </c>
      <c r="BN36" s="31">
        <v>1030</v>
      </c>
      <c r="BO36" s="31">
        <v>1030</v>
      </c>
      <c r="BP36" s="31">
        <v>1030</v>
      </c>
      <c r="BQ36" s="31" t="s">
        <v>71</v>
      </c>
      <c r="BR36" s="31" t="s">
        <v>71</v>
      </c>
      <c r="BS36" s="31" t="s">
        <v>71</v>
      </c>
      <c r="BT36" s="31" t="s">
        <v>81</v>
      </c>
      <c r="BU36" s="31" t="s">
        <v>81</v>
      </c>
      <c r="BV36" s="31" t="s">
        <v>81</v>
      </c>
      <c r="BW36" s="31" t="s">
        <v>68</v>
      </c>
      <c r="BX36" s="31" t="s">
        <v>68</v>
      </c>
      <c r="BY36" s="31" t="s">
        <v>68</v>
      </c>
      <c r="BZ36" s="31" t="s">
        <v>68</v>
      </c>
      <c r="CA36" s="31" t="s">
        <v>68</v>
      </c>
      <c r="CB36" s="31" t="s">
        <v>68</v>
      </c>
      <c r="CC36" s="31" t="s">
        <v>68</v>
      </c>
      <c r="CD36" s="31">
        <v>134</v>
      </c>
      <c r="CE36" s="31">
        <v>134</v>
      </c>
      <c r="CF36" s="31">
        <v>134</v>
      </c>
      <c r="CG36" s="31">
        <v>458</v>
      </c>
      <c r="CH36" s="31">
        <v>458</v>
      </c>
      <c r="CI36" s="31">
        <v>458</v>
      </c>
      <c r="CJ36" s="31">
        <v>458</v>
      </c>
      <c r="CK36" s="31" t="s">
        <v>68</v>
      </c>
      <c r="CL36" s="31" t="s">
        <v>68</v>
      </c>
      <c r="CM36" s="31" t="s">
        <v>176</v>
      </c>
      <c r="CN36" s="31" t="s">
        <v>177</v>
      </c>
      <c r="CO36" s="31" t="s">
        <v>177</v>
      </c>
      <c r="CP36" s="31" t="s">
        <v>177</v>
      </c>
      <c r="CQ36" s="31" t="s">
        <v>177</v>
      </c>
      <c r="CR36" s="31" t="s">
        <v>177</v>
      </c>
      <c r="CS36" s="31" t="s">
        <v>177</v>
      </c>
      <c r="CT36" s="33">
        <v>8846</v>
      </c>
      <c r="CU36" s="33">
        <v>8846</v>
      </c>
      <c r="CV36" s="33">
        <v>8846</v>
      </c>
      <c r="CW36" s="33">
        <v>8846</v>
      </c>
      <c r="CX36" s="33">
        <v>8846</v>
      </c>
      <c r="CY36" s="33">
        <v>8846</v>
      </c>
      <c r="CZ36" s="33">
        <v>8846</v>
      </c>
      <c r="DA36" s="26" t="s">
        <v>81</v>
      </c>
      <c r="DB36" s="26"/>
      <c r="DC36" s="26"/>
      <c r="DD36" s="26"/>
      <c r="DE36" s="26"/>
      <c r="DF36" s="26" t="s">
        <v>81</v>
      </c>
      <c r="DG36" s="26"/>
      <c r="DH36" s="26"/>
      <c r="DI36" s="26"/>
      <c r="DJ36" s="26" t="s">
        <v>81</v>
      </c>
      <c r="DK36" s="26"/>
      <c r="DL36" s="26"/>
      <c r="DM36" s="26"/>
      <c r="DN36" s="26" t="s">
        <v>81</v>
      </c>
      <c r="DO36" s="26"/>
      <c r="DP36" s="26"/>
      <c r="DQ36" s="26"/>
      <c r="DR36" s="26"/>
      <c r="DS36" s="27"/>
      <c r="DT36" s="14">
        <v>31</v>
      </c>
    </row>
    <row r="37" spans="2:130" customFormat="1" ht="15" customHeight="1">
      <c r="B37" s="34">
        <v>4802</v>
      </c>
      <c r="C37" s="24"/>
      <c r="D37" s="24"/>
      <c r="E37" s="24"/>
      <c r="F37" s="24"/>
      <c r="G37" s="25"/>
      <c r="H37" s="23" t="s">
        <v>106</v>
      </c>
      <c r="I37" s="24" t="s">
        <v>106</v>
      </c>
      <c r="J37" s="24" t="s">
        <v>106</v>
      </c>
      <c r="K37" s="24" t="s">
        <v>106</v>
      </c>
      <c r="L37" s="25" t="s">
        <v>106</v>
      </c>
      <c r="M37" s="23" t="s">
        <v>155</v>
      </c>
      <c r="N37" s="24" t="s">
        <v>155</v>
      </c>
      <c r="O37" s="24" t="s">
        <v>155</v>
      </c>
      <c r="P37" s="25" t="s">
        <v>155</v>
      </c>
      <c r="Q37" s="35" t="s">
        <v>179</v>
      </c>
      <c r="R37" s="36">
        <v>160</v>
      </c>
      <c r="S37" s="36">
        <v>160</v>
      </c>
      <c r="T37" s="37">
        <v>160</v>
      </c>
      <c r="U37" s="35" t="s">
        <v>65</v>
      </c>
      <c r="V37" s="36" t="s">
        <v>65</v>
      </c>
      <c r="W37" s="36" t="s">
        <v>65</v>
      </c>
      <c r="X37" s="36" t="s">
        <v>65</v>
      </c>
      <c r="Y37" s="36" t="s">
        <v>65</v>
      </c>
      <c r="Z37" s="36" t="s">
        <v>65</v>
      </c>
      <c r="AA37" s="37" t="s">
        <v>65</v>
      </c>
      <c r="AB37" s="29" t="s">
        <v>261</v>
      </c>
      <c r="AC37" s="29" t="s">
        <v>77</v>
      </c>
      <c r="AD37" s="29" t="s">
        <v>77</v>
      </c>
      <c r="AE37" s="29" t="s">
        <v>77</v>
      </c>
      <c r="AF37" s="29" t="s">
        <v>77</v>
      </c>
      <c r="AG37" s="29" t="s">
        <v>77</v>
      </c>
      <c r="AH37" s="29" t="s">
        <v>77</v>
      </c>
      <c r="AI37" s="29" t="s">
        <v>77</v>
      </c>
      <c r="AJ37" s="29" t="s">
        <v>77</v>
      </c>
      <c r="AK37" s="29" t="s">
        <v>77</v>
      </c>
      <c r="AL37" s="29" t="s">
        <v>77</v>
      </c>
      <c r="AM37" s="29" t="s">
        <v>77</v>
      </c>
      <c r="AN37" s="29" t="s">
        <v>77</v>
      </c>
      <c r="AO37" s="31" t="s">
        <v>275</v>
      </c>
      <c r="AP37" s="31" t="s">
        <v>158</v>
      </c>
      <c r="AQ37" s="31" t="s">
        <v>158</v>
      </c>
      <c r="AR37" s="31" t="s">
        <v>158</v>
      </c>
      <c r="AS37" s="31" t="s">
        <v>158</v>
      </c>
      <c r="AT37" s="31" t="s">
        <v>158</v>
      </c>
      <c r="AU37" s="31" t="s">
        <v>158</v>
      </c>
      <c r="AV37" s="31" t="s">
        <v>158</v>
      </c>
      <c r="AW37" s="31" t="s">
        <v>158</v>
      </c>
      <c r="AX37" s="31" t="s">
        <v>158</v>
      </c>
      <c r="AY37" s="31" t="s">
        <v>158</v>
      </c>
      <c r="AZ37" s="23" t="s">
        <v>238</v>
      </c>
      <c r="BA37" s="24" t="s">
        <v>180</v>
      </c>
      <c r="BB37" s="24" t="s">
        <v>180</v>
      </c>
      <c r="BC37" s="24" t="s">
        <v>180</v>
      </c>
      <c r="BD37" s="24" t="s">
        <v>180</v>
      </c>
      <c r="BE37" s="24" t="s">
        <v>180</v>
      </c>
      <c r="BF37" s="24" t="s">
        <v>180</v>
      </c>
      <c r="BG37" s="24" t="s">
        <v>180</v>
      </c>
      <c r="BH37" s="24" t="s">
        <v>180</v>
      </c>
      <c r="BI37" s="24" t="s">
        <v>180</v>
      </c>
      <c r="BJ37" s="25" t="s">
        <v>180</v>
      </c>
      <c r="BK37" s="35">
        <v>200</v>
      </c>
      <c r="BL37" s="36">
        <v>200</v>
      </c>
      <c r="BM37" s="37">
        <v>200</v>
      </c>
      <c r="BN37" s="35">
        <v>1030</v>
      </c>
      <c r="BO37" s="36">
        <v>1030</v>
      </c>
      <c r="BP37" s="37">
        <v>1030</v>
      </c>
      <c r="BQ37" s="35" t="s">
        <v>71</v>
      </c>
      <c r="BR37" s="36" t="s">
        <v>71</v>
      </c>
      <c r="BS37" s="37" t="s">
        <v>71</v>
      </c>
      <c r="BT37" s="35" t="s">
        <v>81</v>
      </c>
      <c r="BU37" s="36" t="s">
        <v>81</v>
      </c>
      <c r="BV37" s="37" t="s">
        <v>81</v>
      </c>
      <c r="BW37" s="35" t="s">
        <v>68</v>
      </c>
      <c r="BX37" s="36" t="s">
        <v>68</v>
      </c>
      <c r="BY37" s="36" t="s">
        <v>68</v>
      </c>
      <c r="BZ37" s="37" t="s">
        <v>68</v>
      </c>
      <c r="CA37" s="35" t="s">
        <v>68</v>
      </c>
      <c r="CB37" s="36" t="s">
        <v>68</v>
      </c>
      <c r="CC37" s="37" t="s">
        <v>68</v>
      </c>
      <c r="CD37" s="35">
        <v>134</v>
      </c>
      <c r="CE37" s="36">
        <v>134</v>
      </c>
      <c r="CF37" s="37">
        <v>134</v>
      </c>
      <c r="CG37" s="35">
        <v>458</v>
      </c>
      <c r="CH37" s="36">
        <v>458</v>
      </c>
      <c r="CI37" s="36">
        <v>458</v>
      </c>
      <c r="CJ37" s="37">
        <v>458</v>
      </c>
      <c r="CK37" s="35" t="s">
        <v>68</v>
      </c>
      <c r="CL37" s="37" t="s">
        <v>68</v>
      </c>
      <c r="CM37" s="35" t="s">
        <v>122</v>
      </c>
      <c r="CN37" s="36" t="s">
        <v>123</v>
      </c>
      <c r="CO37" s="36" t="s">
        <v>123</v>
      </c>
      <c r="CP37" s="36" t="s">
        <v>123</v>
      </c>
      <c r="CQ37" s="36" t="s">
        <v>123</v>
      </c>
      <c r="CR37" s="36" t="s">
        <v>123</v>
      </c>
      <c r="CS37" s="37" t="s">
        <v>123</v>
      </c>
      <c r="CT37" s="35" t="s">
        <v>164</v>
      </c>
      <c r="CU37" s="36" t="s">
        <v>164</v>
      </c>
      <c r="CV37" s="36" t="s">
        <v>164</v>
      </c>
      <c r="CW37" s="36" t="s">
        <v>164</v>
      </c>
      <c r="CX37" s="36" t="s">
        <v>164</v>
      </c>
      <c r="CY37" s="36" t="s">
        <v>164</v>
      </c>
      <c r="CZ37" s="37" t="s">
        <v>164</v>
      </c>
      <c r="DA37" s="23" t="s">
        <v>81</v>
      </c>
      <c r="DB37" s="24"/>
      <c r="DC37" s="24"/>
      <c r="DD37" s="24"/>
      <c r="DE37" s="25"/>
      <c r="DF37" s="23" t="s">
        <v>81</v>
      </c>
      <c r="DG37" s="24"/>
      <c r="DH37" s="24"/>
      <c r="DI37" s="25"/>
      <c r="DJ37" s="23" t="s">
        <v>81</v>
      </c>
      <c r="DK37" s="24"/>
      <c r="DL37" s="24"/>
      <c r="DM37" s="25"/>
      <c r="DN37" s="23" t="s">
        <v>81</v>
      </c>
      <c r="DO37" s="24"/>
      <c r="DP37" s="24"/>
      <c r="DQ37" s="24"/>
      <c r="DR37" s="24"/>
      <c r="DS37" s="44"/>
      <c r="DT37" s="14">
        <v>32</v>
      </c>
    </row>
    <row r="38" spans="2:130" customFormat="1" ht="15" customHeight="1">
      <c r="B38" s="34">
        <v>4803</v>
      </c>
      <c r="C38" s="24"/>
      <c r="D38" s="24"/>
      <c r="E38" s="24"/>
      <c r="F38" s="24"/>
      <c r="G38" s="25"/>
      <c r="H38" s="26" t="s">
        <v>109</v>
      </c>
      <c r="I38" s="26" t="s">
        <v>109</v>
      </c>
      <c r="J38" s="26" t="s">
        <v>109</v>
      </c>
      <c r="K38" s="26" t="s">
        <v>109</v>
      </c>
      <c r="L38" s="26" t="s">
        <v>109</v>
      </c>
      <c r="M38" s="26" t="s">
        <v>183</v>
      </c>
      <c r="N38" s="26" t="s">
        <v>183</v>
      </c>
      <c r="O38" s="26" t="s">
        <v>183</v>
      </c>
      <c r="P38" s="26" t="s">
        <v>183</v>
      </c>
      <c r="Q38" s="31" t="s">
        <v>184</v>
      </c>
      <c r="R38" s="31">
        <v>120</v>
      </c>
      <c r="S38" s="31">
        <v>120</v>
      </c>
      <c r="T38" s="31">
        <v>120</v>
      </c>
      <c r="U38" s="26" t="s">
        <v>110</v>
      </c>
      <c r="V38" s="26" t="s">
        <v>185</v>
      </c>
      <c r="W38" s="26" t="s">
        <v>185</v>
      </c>
      <c r="X38" s="26" t="s">
        <v>185</v>
      </c>
      <c r="Y38" s="26" t="s">
        <v>185</v>
      </c>
      <c r="Z38" s="26" t="s">
        <v>185</v>
      </c>
      <c r="AA38" s="26" t="s">
        <v>185</v>
      </c>
      <c r="AB38" s="29" t="s">
        <v>261</v>
      </c>
      <c r="AC38" s="29" t="s">
        <v>77</v>
      </c>
      <c r="AD38" s="29" t="s">
        <v>77</v>
      </c>
      <c r="AE38" s="29" t="s">
        <v>77</v>
      </c>
      <c r="AF38" s="29" t="s">
        <v>77</v>
      </c>
      <c r="AG38" s="29" t="s">
        <v>77</v>
      </c>
      <c r="AH38" s="29" t="s">
        <v>77</v>
      </c>
      <c r="AI38" s="29" t="s">
        <v>77</v>
      </c>
      <c r="AJ38" s="29" t="s">
        <v>77</v>
      </c>
      <c r="AK38" s="29" t="s">
        <v>77</v>
      </c>
      <c r="AL38" s="29" t="s">
        <v>77</v>
      </c>
      <c r="AM38" s="29" t="s">
        <v>77</v>
      </c>
      <c r="AN38" s="29" t="s">
        <v>77</v>
      </c>
      <c r="AO38" s="26" t="s">
        <v>279</v>
      </c>
      <c r="AP38" s="26" t="s">
        <v>162</v>
      </c>
      <c r="AQ38" s="26" t="s">
        <v>162</v>
      </c>
      <c r="AR38" s="26" t="s">
        <v>162</v>
      </c>
      <c r="AS38" s="26" t="s">
        <v>162</v>
      </c>
      <c r="AT38" s="26" t="s">
        <v>162</v>
      </c>
      <c r="AU38" s="26" t="s">
        <v>162</v>
      </c>
      <c r="AV38" s="26" t="s">
        <v>162</v>
      </c>
      <c r="AW38" s="26" t="s">
        <v>162</v>
      </c>
      <c r="AX38" s="26" t="s">
        <v>162</v>
      </c>
      <c r="AY38" s="26" t="s">
        <v>162</v>
      </c>
      <c r="AZ38" s="26" t="s">
        <v>282</v>
      </c>
      <c r="BA38" s="26" t="s">
        <v>195</v>
      </c>
      <c r="BB38" s="26" t="s">
        <v>195</v>
      </c>
      <c r="BC38" s="26" t="s">
        <v>195</v>
      </c>
      <c r="BD38" s="26" t="s">
        <v>195</v>
      </c>
      <c r="BE38" s="26" t="s">
        <v>195</v>
      </c>
      <c r="BF38" s="26" t="s">
        <v>195</v>
      </c>
      <c r="BG38" s="26" t="s">
        <v>195</v>
      </c>
      <c r="BH38" s="26" t="s">
        <v>195</v>
      </c>
      <c r="BI38" s="26" t="s">
        <v>195</v>
      </c>
      <c r="BJ38" s="26" t="s">
        <v>195</v>
      </c>
      <c r="BK38" s="31">
        <v>360</v>
      </c>
      <c r="BL38" s="31">
        <v>360</v>
      </c>
      <c r="BM38" s="31">
        <v>360</v>
      </c>
      <c r="BN38" s="31">
        <v>1733</v>
      </c>
      <c r="BO38" s="31">
        <v>1733</v>
      </c>
      <c r="BP38" s="31">
        <v>1733</v>
      </c>
      <c r="BQ38" s="31" t="s">
        <v>71</v>
      </c>
      <c r="BR38" s="31" t="s">
        <v>71</v>
      </c>
      <c r="BS38" s="31" t="s">
        <v>71</v>
      </c>
      <c r="BT38" s="31" t="s">
        <v>81</v>
      </c>
      <c r="BU38" s="31" t="s">
        <v>81</v>
      </c>
      <c r="BV38" s="31" t="s">
        <v>81</v>
      </c>
      <c r="BW38" s="31" t="s">
        <v>81</v>
      </c>
      <c r="BX38" s="31" t="s">
        <v>81</v>
      </c>
      <c r="BY38" s="31" t="s">
        <v>81</v>
      </c>
      <c r="BZ38" s="31" t="s">
        <v>81</v>
      </c>
      <c r="CA38" s="31" t="s">
        <v>248</v>
      </c>
      <c r="CB38" s="31" t="s">
        <v>163</v>
      </c>
      <c r="CC38" s="31" t="s">
        <v>163</v>
      </c>
      <c r="CD38" s="31" t="s">
        <v>254</v>
      </c>
      <c r="CE38" s="31" t="s">
        <v>186</v>
      </c>
      <c r="CF38" s="31" t="s">
        <v>186</v>
      </c>
      <c r="CG38" s="31" t="s">
        <v>255</v>
      </c>
      <c r="CH38" s="31" t="s">
        <v>187</v>
      </c>
      <c r="CI38" s="31" t="s">
        <v>187</v>
      </c>
      <c r="CJ38" s="31" t="s">
        <v>187</v>
      </c>
      <c r="CK38" s="31"/>
      <c r="CL38" s="31"/>
      <c r="CM38" s="31" t="s">
        <v>256</v>
      </c>
      <c r="CN38" s="31" t="s">
        <v>189</v>
      </c>
      <c r="CO38" s="31" t="s">
        <v>189</v>
      </c>
      <c r="CP38" s="31" t="s">
        <v>189</v>
      </c>
      <c r="CQ38" s="31" t="s">
        <v>189</v>
      </c>
      <c r="CR38" s="31" t="s">
        <v>189</v>
      </c>
      <c r="CS38" s="31" t="s">
        <v>189</v>
      </c>
      <c r="CT38" s="31" t="s">
        <v>257</v>
      </c>
      <c r="CU38" s="31" t="s">
        <v>190</v>
      </c>
      <c r="CV38" s="31" t="s">
        <v>190</v>
      </c>
      <c r="CW38" s="31" t="s">
        <v>190</v>
      </c>
      <c r="CX38" s="31" t="s">
        <v>190</v>
      </c>
      <c r="CY38" s="31" t="s">
        <v>190</v>
      </c>
      <c r="CZ38" s="31" t="s">
        <v>190</v>
      </c>
      <c r="DA38" s="26" t="s">
        <v>81</v>
      </c>
      <c r="DB38" s="26"/>
      <c r="DC38" s="26"/>
      <c r="DD38" s="26"/>
      <c r="DE38" s="26"/>
      <c r="DF38" s="26" t="s">
        <v>81</v>
      </c>
      <c r="DG38" s="26"/>
      <c r="DH38" s="26"/>
      <c r="DI38" s="26"/>
      <c r="DJ38" s="26" t="s">
        <v>81</v>
      </c>
      <c r="DK38" s="26"/>
      <c r="DL38" s="26"/>
      <c r="DM38" s="26"/>
      <c r="DN38" s="26" t="s">
        <v>81</v>
      </c>
      <c r="DO38" s="26"/>
      <c r="DP38" s="26"/>
      <c r="DQ38" s="26"/>
      <c r="DR38" s="26"/>
      <c r="DS38" s="27"/>
      <c r="DT38" s="14">
        <v>33</v>
      </c>
    </row>
    <row r="39" spans="2:130" customFormat="1" ht="15" customHeight="1">
      <c r="B39" s="34">
        <v>4804</v>
      </c>
      <c r="C39" s="24"/>
      <c r="D39" s="24"/>
      <c r="E39" s="24"/>
      <c r="F39" s="24"/>
      <c r="G39" s="25"/>
      <c r="H39" s="26" t="s">
        <v>113</v>
      </c>
      <c r="I39" s="26" t="s">
        <v>113</v>
      </c>
      <c r="J39" s="26" t="s">
        <v>113</v>
      </c>
      <c r="K39" s="26" t="s">
        <v>113</v>
      </c>
      <c r="L39" s="26" t="s">
        <v>113</v>
      </c>
      <c r="M39" s="26" t="s">
        <v>183</v>
      </c>
      <c r="N39" s="26" t="s">
        <v>183</v>
      </c>
      <c r="O39" s="26" t="s">
        <v>183</v>
      </c>
      <c r="P39" s="26" t="s">
        <v>183</v>
      </c>
      <c r="Q39" s="26">
        <v>100</v>
      </c>
      <c r="R39" s="31">
        <v>120</v>
      </c>
      <c r="S39" s="31">
        <v>120</v>
      </c>
      <c r="T39" s="31">
        <v>120</v>
      </c>
      <c r="U39" s="26" t="s">
        <v>292</v>
      </c>
      <c r="V39" s="26" t="s">
        <v>185</v>
      </c>
      <c r="W39" s="26" t="s">
        <v>185</v>
      </c>
      <c r="X39" s="26" t="s">
        <v>185</v>
      </c>
      <c r="Y39" s="26" t="s">
        <v>185</v>
      </c>
      <c r="Z39" s="26" t="s">
        <v>185</v>
      </c>
      <c r="AA39" s="26" t="s">
        <v>185</v>
      </c>
      <c r="AB39" s="29" t="s">
        <v>261</v>
      </c>
      <c r="AC39" s="29" t="s">
        <v>77</v>
      </c>
      <c r="AD39" s="29" t="s">
        <v>77</v>
      </c>
      <c r="AE39" s="29" t="s">
        <v>77</v>
      </c>
      <c r="AF39" s="29" t="s">
        <v>77</v>
      </c>
      <c r="AG39" s="29" t="s">
        <v>77</v>
      </c>
      <c r="AH39" s="29" t="s">
        <v>77</v>
      </c>
      <c r="AI39" s="29" t="s">
        <v>77</v>
      </c>
      <c r="AJ39" s="29" t="s">
        <v>77</v>
      </c>
      <c r="AK39" s="29" t="s">
        <v>77</v>
      </c>
      <c r="AL39" s="29" t="s">
        <v>77</v>
      </c>
      <c r="AM39" s="29" t="s">
        <v>77</v>
      </c>
      <c r="AN39" s="29" t="s">
        <v>77</v>
      </c>
      <c r="AO39" s="31" t="s">
        <v>227</v>
      </c>
      <c r="AP39" s="31" t="s">
        <v>191</v>
      </c>
      <c r="AQ39" s="31" t="s">
        <v>191</v>
      </c>
      <c r="AR39" s="31" t="s">
        <v>191</v>
      </c>
      <c r="AS39" s="31" t="s">
        <v>191</v>
      </c>
      <c r="AT39" s="31" t="s">
        <v>191</v>
      </c>
      <c r="AU39" s="31" t="s">
        <v>191</v>
      </c>
      <c r="AV39" s="31" t="s">
        <v>191</v>
      </c>
      <c r="AW39" s="31" t="s">
        <v>191</v>
      </c>
      <c r="AX39" s="31" t="s">
        <v>191</v>
      </c>
      <c r="AY39" s="31" t="s">
        <v>191</v>
      </c>
      <c r="AZ39" s="31" t="s">
        <v>283</v>
      </c>
      <c r="BA39" s="31" t="s">
        <v>192</v>
      </c>
      <c r="BB39" s="31" t="s">
        <v>192</v>
      </c>
      <c r="BC39" s="31" t="s">
        <v>192</v>
      </c>
      <c r="BD39" s="31" t="s">
        <v>192</v>
      </c>
      <c r="BE39" s="31" t="s">
        <v>192</v>
      </c>
      <c r="BF39" s="31" t="s">
        <v>192</v>
      </c>
      <c r="BG39" s="31" t="s">
        <v>192</v>
      </c>
      <c r="BH39" s="31" t="s">
        <v>192</v>
      </c>
      <c r="BI39" s="31" t="s">
        <v>192</v>
      </c>
      <c r="BJ39" s="31" t="s">
        <v>192</v>
      </c>
      <c r="BK39" s="31">
        <v>360</v>
      </c>
      <c r="BL39" s="31">
        <v>360</v>
      </c>
      <c r="BM39" s="31">
        <v>360</v>
      </c>
      <c r="BN39" s="31">
        <v>1733</v>
      </c>
      <c r="BO39" s="31">
        <v>1733</v>
      </c>
      <c r="BP39" s="31">
        <v>1733</v>
      </c>
      <c r="BQ39" s="31" t="s">
        <v>71</v>
      </c>
      <c r="BR39" s="31" t="s">
        <v>71</v>
      </c>
      <c r="BS39" s="31" t="s">
        <v>71</v>
      </c>
      <c r="BT39" s="31" t="s">
        <v>81</v>
      </c>
      <c r="BU39" s="31" t="s">
        <v>81</v>
      </c>
      <c r="BV39" s="31" t="s">
        <v>81</v>
      </c>
      <c r="BW39" s="31" t="s">
        <v>68</v>
      </c>
      <c r="BX39" s="31" t="s">
        <v>68</v>
      </c>
      <c r="BY39" s="31" t="s">
        <v>68</v>
      </c>
      <c r="BZ39" s="31" t="s">
        <v>68</v>
      </c>
      <c r="CA39" s="31" t="s">
        <v>68</v>
      </c>
      <c r="CB39" s="31" t="s">
        <v>68</v>
      </c>
      <c r="CC39" s="31" t="s">
        <v>68</v>
      </c>
      <c r="CD39" s="31">
        <v>307</v>
      </c>
      <c r="CE39" s="31">
        <v>307</v>
      </c>
      <c r="CF39" s="31">
        <v>307</v>
      </c>
      <c r="CG39" s="31">
        <v>1575</v>
      </c>
      <c r="CH39" s="31">
        <v>1575</v>
      </c>
      <c r="CI39" s="31">
        <v>1575</v>
      </c>
      <c r="CJ39" s="31">
        <v>1575</v>
      </c>
      <c r="CK39" s="31" t="s">
        <v>68</v>
      </c>
      <c r="CL39" s="31" t="s">
        <v>68</v>
      </c>
      <c r="CM39" s="31" t="s">
        <v>188</v>
      </c>
      <c r="CN39" s="31" t="s">
        <v>189</v>
      </c>
      <c r="CO39" s="31" t="s">
        <v>189</v>
      </c>
      <c r="CP39" s="31" t="s">
        <v>189</v>
      </c>
      <c r="CQ39" s="31" t="s">
        <v>189</v>
      </c>
      <c r="CR39" s="31" t="s">
        <v>189</v>
      </c>
      <c r="CS39" s="31" t="s">
        <v>189</v>
      </c>
      <c r="CT39" s="31" t="s">
        <v>193</v>
      </c>
      <c r="CU39" s="31" t="s">
        <v>193</v>
      </c>
      <c r="CV39" s="31" t="s">
        <v>193</v>
      </c>
      <c r="CW39" s="31" t="s">
        <v>193</v>
      </c>
      <c r="CX39" s="31" t="s">
        <v>193</v>
      </c>
      <c r="CY39" s="31" t="s">
        <v>193</v>
      </c>
      <c r="CZ39" s="31" t="s">
        <v>193</v>
      </c>
      <c r="DA39" s="26" t="s">
        <v>81</v>
      </c>
      <c r="DB39" s="26"/>
      <c r="DC39" s="26"/>
      <c r="DD39" s="26"/>
      <c r="DE39" s="26"/>
      <c r="DF39" s="26" t="s">
        <v>81</v>
      </c>
      <c r="DG39" s="26"/>
      <c r="DH39" s="26"/>
      <c r="DI39" s="26"/>
      <c r="DJ39" s="26" t="s">
        <v>81</v>
      </c>
      <c r="DK39" s="26"/>
      <c r="DL39" s="26"/>
      <c r="DM39" s="26"/>
      <c r="DN39" s="26" t="s">
        <v>81</v>
      </c>
      <c r="DO39" s="26"/>
      <c r="DP39" s="26"/>
      <c r="DQ39" s="26"/>
      <c r="DR39" s="26"/>
      <c r="DS39" s="27"/>
      <c r="DT39" s="14">
        <v>34</v>
      </c>
    </row>
    <row r="40" spans="2:130" customFormat="1" ht="15" customHeight="1">
      <c r="B40" s="34">
        <v>4805</v>
      </c>
      <c r="C40" s="24"/>
      <c r="D40" s="24"/>
      <c r="E40" s="24"/>
      <c r="F40" s="24"/>
      <c r="G40" s="25"/>
      <c r="H40" s="26" t="s">
        <v>113</v>
      </c>
      <c r="I40" s="26" t="s">
        <v>113</v>
      </c>
      <c r="J40" s="26" t="s">
        <v>113</v>
      </c>
      <c r="K40" s="26" t="s">
        <v>113</v>
      </c>
      <c r="L40" s="26" t="s">
        <v>113</v>
      </c>
      <c r="M40" s="26" t="s">
        <v>183</v>
      </c>
      <c r="N40" s="26" t="s">
        <v>183</v>
      </c>
      <c r="O40" s="26" t="s">
        <v>183</v>
      </c>
      <c r="P40" s="26" t="s">
        <v>183</v>
      </c>
      <c r="Q40" s="26">
        <v>100</v>
      </c>
      <c r="R40" s="31">
        <v>120</v>
      </c>
      <c r="S40" s="31">
        <v>120</v>
      </c>
      <c r="T40" s="31">
        <v>120</v>
      </c>
      <c r="U40" s="26" t="s">
        <v>292</v>
      </c>
      <c r="V40" s="26" t="s">
        <v>185</v>
      </c>
      <c r="W40" s="26" t="s">
        <v>185</v>
      </c>
      <c r="X40" s="26" t="s">
        <v>185</v>
      </c>
      <c r="Y40" s="26" t="s">
        <v>185</v>
      </c>
      <c r="Z40" s="26" t="s">
        <v>185</v>
      </c>
      <c r="AA40" s="26" t="s">
        <v>185</v>
      </c>
      <c r="AB40" s="29" t="s">
        <v>261</v>
      </c>
      <c r="AC40" s="29" t="s">
        <v>77</v>
      </c>
      <c r="AD40" s="29" t="s">
        <v>77</v>
      </c>
      <c r="AE40" s="29" t="s">
        <v>77</v>
      </c>
      <c r="AF40" s="29" t="s">
        <v>77</v>
      </c>
      <c r="AG40" s="29" t="s">
        <v>77</v>
      </c>
      <c r="AH40" s="29" t="s">
        <v>77</v>
      </c>
      <c r="AI40" s="29" t="s">
        <v>77</v>
      </c>
      <c r="AJ40" s="29" t="s">
        <v>77</v>
      </c>
      <c r="AK40" s="29" t="s">
        <v>77</v>
      </c>
      <c r="AL40" s="29" t="s">
        <v>77</v>
      </c>
      <c r="AM40" s="29" t="s">
        <v>77</v>
      </c>
      <c r="AN40" s="29" t="s">
        <v>77</v>
      </c>
      <c r="AO40" s="31" t="s">
        <v>227</v>
      </c>
      <c r="AP40" s="31" t="s">
        <v>191</v>
      </c>
      <c r="AQ40" s="31" t="s">
        <v>191</v>
      </c>
      <c r="AR40" s="31" t="s">
        <v>191</v>
      </c>
      <c r="AS40" s="31" t="s">
        <v>191</v>
      </c>
      <c r="AT40" s="31" t="s">
        <v>191</v>
      </c>
      <c r="AU40" s="31" t="s">
        <v>191</v>
      </c>
      <c r="AV40" s="31" t="s">
        <v>191</v>
      </c>
      <c r="AW40" s="31" t="s">
        <v>191</v>
      </c>
      <c r="AX40" s="31" t="s">
        <v>191</v>
      </c>
      <c r="AY40" s="31" t="s">
        <v>191</v>
      </c>
      <c r="AZ40" s="31" t="s">
        <v>284</v>
      </c>
      <c r="BA40" s="31" t="s">
        <v>194</v>
      </c>
      <c r="BB40" s="31" t="s">
        <v>194</v>
      </c>
      <c r="BC40" s="31" t="s">
        <v>194</v>
      </c>
      <c r="BD40" s="31" t="s">
        <v>194</v>
      </c>
      <c r="BE40" s="31" t="s">
        <v>194</v>
      </c>
      <c r="BF40" s="31" t="s">
        <v>194</v>
      </c>
      <c r="BG40" s="31" t="s">
        <v>194</v>
      </c>
      <c r="BH40" s="31" t="s">
        <v>194</v>
      </c>
      <c r="BI40" s="31" t="s">
        <v>194</v>
      </c>
      <c r="BJ40" s="31" t="s">
        <v>194</v>
      </c>
      <c r="BK40" s="31">
        <v>360</v>
      </c>
      <c r="BL40" s="31">
        <v>360</v>
      </c>
      <c r="BM40" s="31">
        <v>360</v>
      </c>
      <c r="BN40" s="31">
        <v>1733</v>
      </c>
      <c r="BO40" s="31">
        <v>1733</v>
      </c>
      <c r="BP40" s="31">
        <v>1733</v>
      </c>
      <c r="BQ40" s="31" t="s">
        <v>71</v>
      </c>
      <c r="BR40" s="31" t="s">
        <v>71</v>
      </c>
      <c r="BS40" s="31" t="s">
        <v>71</v>
      </c>
      <c r="BT40" s="31" t="s">
        <v>81</v>
      </c>
      <c r="BU40" s="31" t="s">
        <v>81</v>
      </c>
      <c r="BV40" s="31" t="s">
        <v>81</v>
      </c>
      <c r="BW40" s="31" t="s">
        <v>68</v>
      </c>
      <c r="BX40" s="31" t="s">
        <v>68</v>
      </c>
      <c r="BY40" s="31" t="s">
        <v>68</v>
      </c>
      <c r="BZ40" s="31" t="s">
        <v>68</v>
      </c>
      <c r="CA40" s="31" t="s">
        <v>68</v>
      </c>
      <c r="CB40" s="31" t="s">
        <v>68</v>
      </c>
      <c r="CC40" s="31" t="s">
        <v>68</v>
      </c>
      <c r="CD40" s="31">
        <v>307</v>
      </c>
      <c r="CE40" s="31">
        <v>307</v>
      </c>
      <c r="CF40" s="31">
        <v>307</v>
      </c>
      <c r="CG40" s="31">
        <v>1575</v>
      </c>
      <c r="CH40" s="31">
        <v>1575</v>
      </c>
      <c r="CI40" s="31">
        <v>1575</v>
      </c>
      <c r="CJ40" s="31">
        <v>1575</v>
      </c>
      <c r="CK40" s="31" t="s">
        <v>68</v>
      </c>
      <c r="CL40" s="31" t="s">
        <v>68</v>
      </c>
      <c r="CM40" s="31" t="s">
        <v>188</v>
      </c>
      <c r="CN40" s="31" t="s">
        <v>189</v>
      </c>
      <c r="CO40" s="31" t="s">
        <v>189</v>
      </c>
      <c r="CP40" s="31" t="s">
        <v>189</v>
      </c>
      <c r="CQ40" s="31" t="s">
        <v>189</v>
      </c>
      <c r="CR40" s="31" t="s">
        <v>189</v>
      </c>
      <c r="CS40" s="31" t="s">
        <v>189</v>
      </c>
      <c r="CT40" s="31" t="s">
        <v>193</v>
      </c>
      <c r="CU40" s="31" t="s">
        <v>193</v>
      </c>
      <c r="CV40" s="31" t="s">
        <v>193</v>
      </c>
      <c r="CW40" s="31" t="s">
        <v>193</v>
      </c>
      <c r="CX40" s="31" t="s">
        <v>193</v>
      </c>
      <c r="CY40" s="31" t="s">
        <v>193</v>
      </c>
      <c r="CZ40" s="31" t="s">
        <v>193</v>
      </c>
      <c r="DA40" s="26" t="s">
        <v>81</v>
      </c>
      <c r="DB40" s="26"/>
      <c r="DC40" s="26"/>
      <c r="DD40" s="26"/>
      <c r="DE40" s="26"/>
      <c r="DF40" s="26" t="s">
        <v>81</v>
      </c>
      <c r="DG40" s="26"/>
      <c r="DH40" s="26"/>
      <c r="DI40" s="26"/>
      <c r="DJ40" s="26" t="s">
        <v>81</v>
      </c>
      <c r="DK40" s="26"/>
      <c r="DL40" s="26"/>
      <c r="DM40" s="26"/>
      <c r="DN40" s="26" t="s">
        <v>81</v>
      </c>
      <c r="DO40" s="26"/>
      <c r="DP40" s="26"/>
      <c r="DQ40" s="26"/>
      <c r="DR40" s="26"/>
      <c r="DS40" s="27"/>
      <c r="DT40" s="14">
        <v>35</v>
      </c>
    </row>
    <row r="41" spans="2:130" customFormat="1" ht="15" customHeight="1">
      <c r="B41" s="34">
        <v>4806</v>
      </c>
      <c r="C41" s="24"/>
      <c r="D41" s="24"/>
      <c r="E41" s="24"/>
      <c r="F41" s="24"/>
      <c r="G41" s="25"/>
      <c r="H41" s="26" t="s">
        <v>106</v>
      </c>
      <c r="I41" s="26" t="s">
        <v>106</v>
      </c>
      <c r="J41" s="26" t="s">
        <v>106</v>
      </c>
      <c r="K41" s="26" t="s">
        <v>106</v>
      </c>
      <c r="L41" s="26" t="s">
        <v>106</v>
      </c>
      <c r="M41" s="26" t="s">
        <v>183</v>
      </c>
      <c r="N41" s="26" t="s">
        <v>183</v>
      </c>
      <c r="O41" s="26" t="s">
        <v>183</v>
      </c>
      <c r="P41" s="26" t="s">
        <v>183</v>
      </c>
      <c r="Q41" s="26">
        <v>160</v>
      </c>
      <c r="R41" s="26">
        <v>160</v>
      </c>
      <c r="S41" s="26">
        <v>160</v>
      </c>
      <c r="T41" s="26">
        <v>160</v>
      </c>
      <c r="U41" s="23" t="s">
        <v>117</v>
      </c>
      <c r="V41" s="24"/>
      <c r="W41" s="24"/>
      <c r="X41" s="24"/>
      <c r="Y41" s="24"/>
      <c r="Z41" s="24"/>
      <c r="AA41" s="25"/>
      <c r="AB41" s="29" t="s">
        <v>261</v>
      </c>
      <c r="AC41" s="29" t="s">
        <v>77</v>
      </c>
      <c r="AD41" s="29" t="s">
        <v>77</v>
      </c>
      <c r="AE41" s="29" t="s">
        <v>77</v>
      </c>
      <c r="AF41" s="29" t="s">
        <v>77</v>
      </c>
      <c r="AG41" s="29" t="s">
        <v>77</v>
      </c>
      <c r="AH41" s="29" t="s">
        <v>77</v>
      </c>
      <c r="AI41" s="29" t="s">
        <v>77</v>
      </c>
      <c r="AJ41" s="29" t="s">
        <v>77</v>
      </c>
      <c r="AK41" s="29" t="s">
        <v>77</v>
      </c>
      <c r="AL41" s="29" t="s">
        <v>77</v>
      </c>
      <c r="AM41" s="29" t="s">
        <v>77</v>
      </c>
      <c r="AN41" s="29" t="s">
        <v>77</v>
      </c>
      <c r="AO41" s="31" t="s">
        <v>227</v>
      </c>
      <c r="AP41" s="31" t="s">
        <v>191</v>
      </c>
      <c r="AQ41" s="31" t="s">
        <v>191</v>
      </c>
      <c r="AR41" s="31" t="s">
        <v>191</v>
      </c>
      <c r="AS41" s="31" t="s">
        <v>191</v>
      </c>
      <c r="AT41" s="31" t="s">
        <v>191</v>
      </c>
      <c r="AU41" s="31" t="s">
        <v>191</v>
      </c>
      <c r="AV41" s="31" t="s">
        <v>191</v>
      </c>
      <c r="AW41" s="31" t="s">
        <v>191</v>
      </c>
      <c r="AX41" s="31" t="s">
        <v>191</v>
      </c>
      <c r="AY41" s="31" t="s">
        <v>191</v>
      </c>
      <c r="AZ41" s="26" t="s">
        <v>285</v>
      </c>
      <c r="BA41" s="26" t="s">
        <v>118</v>
      </c>
      <c r="BB41" s="26" t="s">
        <v>118</v>
      </c>
      <c r="BC41" s="26" t="s">
        <v>118</v>
      </c>
      <c r="BD41" s="26" t="s">
        <v>118</v>
      </c>
      <c r="BE41" s="26" t="s">
        <v>118</v>
      </c>
      <c r="BF41" s="26" t="s">
        <v>118</v>
      </c>
      <c r="BG41" s="26" t="s">
        <v>118</v>
      </c>
      <c r="BH41" s="26" t="s">
        <v>118</v>
      </c>
      <c r="BI41" s="26" t="s">
        <v>118</v>
      </c>
      <c r="BJ41" s="26" t="s">
        <v>118</v>
      </c>
      <c r="BK41" s="26">
        <v>360</v>
      </c>
      <c r="BL41" s="26">
        <v>360</v>
      </c>
      <c r="BM41" s="26">
        <v>360</v>
      </c>
      <c r="BN41" s="26">
        <v>1733</v>
      </c>
      <c r="BO41" s="26">
        <v>1733</v>
      </c>
      <c r="BP41" s="26">
        <v>1733</v>
      </c>
      <c r="BQ41" s="26" t="s">
        <v>71</v>
      </c>
      <c r="BR41" s="26" t="s">
        <v>71</v>
      </c>
      <c r="BS41" s="26" t="s">
        <v>71</v>
      </c>
      <c r="BT41" s="26" t="s">
        <v>81</v>
      </c>
      <c r="BU41" s="26" t="s">
        <v>81</v>
      </c>
      <c r="BV41" s="26" t="s">
        <v>81</v>
      </c>
      <c r="BW41" s="26">
        <v>9</v>
      </c>
      <c r="BX41" s="26">
        <v>9</v>
      </c>
      <c r="BY41" s="26">
        <v>9</v>
      </c>
      <c r="BZ41" s="26">
        <v>9</v>
      </c>
      <c r="CA41" s="26">
        <v>650</v>
      </c>
      <c r="CB41" s="26">
        <v>650</v>
      </c>
      <c r="CC41" s="26">
        <v>650</v>
      </c>
      <c r="CD41" s="26">
        <v>307</v>
      </c>
      <c r="CE41" s="26">
        <v>307</v>
      </c>
      <c r="CF41" s="26">
        <v>307</v>
      </c>
      <c r="CG41" s="26">
        <v>1576</v>
      </c>
      <c r="CH41" s="26">
        <v>1576</v>
      </c>
      <c r="CI41" s="26">
        <v>1576</v>
      </c>
      <c r="CJ41" s="26">
        <v>1576</v>
      </c>
      <c r="CK41" s="26">
        <v>108</v>
      </c>
      <c r="CL41" s="26">
        <v>108</v>
      </c>
      <c r="CM41" s="26" t="s">
        <v>196</v>
      </c>
      <c r="CN41" s="26" t="s">
        <v>197</v>
      </c>
      <c r="CO41" s="26" t="s">
        <v>197</v>
      </c>
      <c r="CP41" s="26" t="s">
        <v>197</v>
      </c>
      <c r="CQ41" s="26" t="s">
        <v>197</v>
      </c>
      <c r="CR41" s="26" t="s">
        <v>197</v>
      </c>
      <c r="CS41" s="26" t="s">
        <v>197</v>
      </c>
      <c r="CT41" s="26" t="s">
        <v>198</v>
      </c>
      <c r="CU41" s="26" t="s">
        <v>198</v>
      </c>
      <c r="CV41" s="26" t="s">
        <v>198</v>
      </c>
      <c r="CW41" s="26" t="s">
        <v>198</v>
      </c>
      <c r="CX41" s="26" t="s">
        <v>198</v>
      </c>
      <c r="CY41" s="26" t="s">
        <v>198</v>
      </c>
      <c r="CZ41" s="26" t="s">
        <v>198</v>
      </c>
      <c r="DA41" s="26" t="s">
        <v>81</v>
      </c>
      <c r="DB41" s="26"/>
      <c r="DC41" s="26"/>
      <c r="DD41" s="26"/>
      <c r="DE41" s="26"/>
      <c r="DF41" s="26" t="s">
        <v>81</v>
      </c>
      <c r="DG41" s="26"/>
      <c r="DH41" s="26"/>
      <c r="DI41" s="26"/>
      <c r="DJ41" s="26" t="s">
        <v>81</v>
      </c>
      <c r="DK41" s="26"/>
      <c r="DL41" s="26"/>
      <c r="DM41" s="26"/>
      <c r="DN41" s="26" t="s">
        <v>81</v>
      </c>
      <c r="DO41" s="26"/>
      <c r="DP41" s="26"/>
      <c r="DQ41" s="26"/>
      <c r="DR41" s="26"/>
      <c r="DS41" s="27"/>
      <c r="DT41" s="14">
        <v>36</v>
      </c>
    </row>
    <row r="42" spans="2:130" customFormat="1" ht="15" customHeight="1">
      <c r="B42" s="34">
        <v>4807</v>
      </c>
      <c r="C42" s="24"/>
      <c r="D42" s="24"/>
      <c r="E42" s="24"/>
      <c r="F42" s="24"/>
      <c r="G42" s="25"/>
      <c r="H42" s="26" t="s">
        <v>130</v>
      </c>
      <c r="I42" s="26" t="s">
        <v>130</v>
      </c>
      <c r="J42" s="26" t="s">
        <v>130</v>
      </c>
      <c r="K42" s="26" t="s">
        <v>130</v>
      </c>
      <c r="L42" s="26" t="s">
        <v>130</v>
      </c>
      <c r="M42" s="26" t="s">
        <v>183</v>
      </c>
      <c r="N42" s="26" t="s">
        <v>183</v>
      </c>
      <c r="O42" s="26" t="s">
        <v>183</v>
      </c>
      <c r="P42" s="26" t="s">
        <v>183</v>
      </c>
      <c r="Q42" s="26">
        <v>100</v>
      </c>
      <c r="R42" s="26">
        <v>120</v>
      </c>
      <c r="S42" s="26">
        <v>120</v>
      </c>
      <c r="T42" s="26">
        <v>120</v>
      </c>
      <c r="U42" s="31" t="s">
        <v>65</v>
      </c>
      <c r="V42" s="31" t="s">
        <v>65</v>
      </c>
      <c r="W42" s="31" t="s">
        <v>65</v>
      </c>
      <c r="X42" s="31" t="s">
        <v>65</v>
      </c>
      <c r="Y42" s="31" t="s">
        <v>65</v>
      </c>
      <c r="Z42" s="31" t="s">
        <v>65</v>
      </c>
      <c r="AA42" s="31" t="s">
        <v>65</v>
      </c>
      <c r="AB42" s="29" t="s">
        <v>261</v>
      </c>
      <c r="AC42" s="29" t="s">
        <v>77</v>
      </c>
      <c r="AD42" s="29" t="s">
        <v>77</v>
      </c>
      <c r="AE42" s="29" t="s">
        <v>77</v>
      </c>
      <c r="AF42" s="29" t="s">
        <v>77</v>
      </c>
      <c r="AG42" s="29" t="s">
        <v>77</v>
      </c>
      <c r="AH42" s="29" t="s">
        <v>77</v>
      </c>
      <c r="AI42" s="29" t="s">
        <v>77</v>
      </c>
      <c r="AJ42" s="29" t="s">
        <v>77</v>
      </c>
      <c r="AK42" s="29" t="s">
        <v>77</v>
      </c>
      <c r="AL42" s="29" t="s">
        <v>77</v>
      </c>
      <c r="AM42" s="29" t="s">
        <v>77</v>
      </c>
      <c r="AN42" s="29" t="s">
        <v>77</v>
      </c>
      <c r="AO42" s="31" t="s">
        <v>282</v>
      </c>
      <c r="AP42" s="31" t="s">
        <v>195</v>
      </c>
      <c r="AQ42" s="31" t="s">
        <v>195</v>
      </c>
      <c r="AR42" s="31" t="s">
        <v>195</v>
      </c>
      <c r="AS42" s="31" t="s">
        <v>195</v>
      </c>
      <c r="AT42" s="31" t="s">
        <v>195</v>
      </c>
      <c r="AU42" s="31" t="s">
        <v>195</v>
      </c>
      <c r="AV42" s="31" t="s">
        <v>195</v>
      </c>
      <c r="AW42" s="31" t="s">
        <v>195</v>
      </c>
      <c r="AX42" s="31" t="s">
        <v>195</v>
      </c>
      <c r="AY42" s="31" t="s">
        <v>195</v>
      </c>
      <c r="AZ42" s="31" t="s">
        <v>286</v>
      </c>
      <c r="BA42" s="31" t="s">
        <v>202</v>
      </c>
      <c r="BB42" s="31" t="s">
        <v>202</v>
      </c>
      <c r="BC42" s="31" t="s">
        <v>202</v>
      </c>
      <c r="BD42" s="31" t="s">
        <v>202</v>
      </c>
      <c r="BE42" s="31" t="s">
        <v>202</v>
      </c>
      <c r="BF42" s="31" t="s">
        <v>202</v>
      </c>
      <c r="BG42" s="31" t="s">
        <v>202</v>
      </c>
      <c r="BH42" s="31" t="s">
        <v>202</v>
      </c>
      <c r="BI42" s="31" t="s">
        <v>202</v>
      </c>
      <c r="BJ42" s="31" t="s">
        <v>202</v>
      </c>
      <c r="BK42" s="31">
        <v>190</v>
      </c>
      <c r="BL42" s="31">
        <v>190</v>
      </c>
      <c r="BM42" s="31">
        <v>190</v>
      </c>
      <c r="BN42" s="31">
        <v>1733</v>
      </c>
      <c r="BO42" s="31">
        <v>1733</v>
      </c>
      <c r="BP42" s="31">
        <v>1733</v>
      </c>
      <c r="BQ42" s="31" t="s">
        <v>71</v>
      </c>
      <c r="BR42" s="31" t="s">
        <v>80</v>
      </c>
      <c r="BS42" s="31" t="s">
        <v>80</v>
      </c>
      <c r="BT42" s="31" t="s">
        <v>81</v>
      </c>
      <c r="BU42" s="31" t="s">
        <v>81</v>
      </c>
      <c r="BV42" s="31" t="s">
        <v>81</v>
      </c>
      <c r="BW42" s="31" t="s">
        <v>81</v>
      </c>
      <c r="BX42" s="31" t="s">
        <v>81</v>
      </c>
      <c r="BY42" s="31" t="s">
        <v>81</v>
      </c>
      <c r="BZ42" s="31" t="s">
        <v>81</v>
      </c>
      <c r="CA42" s="31" t="s">
        <v>248</v>
      </c>
      <c r="CB42" s="31" t="s">
        <v>163</v>
      </c>
      <c r="CC42" s="31" t="s">
        <v>163</v>
      </c>
      <c r="CD42" s="31">
        <v>140</v>
      </c>
      <c r="CE42" s="31">
        <v>140</v>
      </c>
      <c r="CF42" s="31">
        <v>140</v>
      </c>
      <c r="CG42" s="31" t="s">
        <v>258</v>
      </c>
      <c r="CH42" s="31" t="s">
        <v>199</v>
      </c>
      <c r="CI42" s="31" t="s">
        <v>199</v>
      </c>
      <c r="CJ42" s="31" t="s">
        <v>199</v>
      </c>
      <c r="CK42" s="31"/>
      <c r="CL42" s="31"/>
      <c r="CM42" s="31" t="s">
        <v>200</v>
      </c>
      <c r="CN42" s="31" t="s">
        <v>201</v>
      </c>
      <c r="CO42" s="31" t="s">
        <v>201</v>
      </c>
      <c r="CP42" s="31" t="s">
        <v>201</v>
      </c>
      <c r="CQ42" s="31" t="s">
        <v>201</v>
      </c>
      <c r="CR42" s="31" t="s">
        <v>201</v>
      </c>
      <c r="CS42" s="31" t="s">
        <v>201</v>
      </c>
      <c r="CT42" s="42">
        <v>7.7329999999999997</v>
      </c>
      <c r="CU42" s="42">
        <v>0.1168</v>
      </c>
      <c r="CV42" s="42">
        <v>0.1168</v>
      </c>
      <c r="CW42" s="42">
        <v>0.1168</v>
      </c>
      <c r="CX42" s="42">
        <v>0.1168</v>
      </c>
      <c r="CY42" s="42">
        <v>0.1168</v>
      </c>
      <c r="CZ42" s="42">
        <v>0.1168</v>
      </c>
      <c r="DA42" s="26" t="s">
        <v>81</v>
      </c>
      <c r="DB42" s="26"/>
      <c r="DC42" s="26"/>
      <c r="DD42" s="26"/>
      <c r="DE42" s="26"/>
      <c r="DF42" s="26" t="s">
        <v>81</v>
      </c>
      <c r="DG42" s="26"/>
      <c r="DH42" s="26"/>
      <c r="DI42" s="26"/>
      <c r="DJ42" s="26" t="s">
        <v>81</v>
      </c>
      <c r="DK42" s="26"/>
      <c r="DL42" s="26"/>
      <c r="DM42" s="26"/>
      <c r="DN42" s="26" t="s">
        <v>81</v>
      </c>
      <c r="DO42" s="26"/>
      <c r="DP42" s="26"/>
      <c r="DQ42" s="26"/>
      <c r="DR42" s="26"/>
      <c r="DS42" s="27"/>
      <c r="DT42" s="14">
        <v>37</v>
      </c>
    </row>
    <row r="43" spans="2:130" customFormat="1" ht="15" customHeight="1">
      <c r="B43" s="34">
        <v>4808</v>
      </c>
      <c r="C43" s="24"/>
      <c r="D43" s="24"/>
      <c r="E43" s="24"/>
      <c r="F43" s="24"/>
      <c r="G43" s="25"/>
      <c r="H43" s="38" t="s">
        <v>203</v>
      </c>
      <c r="I43" s="38" t="s">
        <v>203</v>
      </c>
      <c r="J43" s="38" t="s">
        <v>203</v>
      </c>
      <c r="K43" s="38" t="s">
        <v>203</v>
      </c>
      <c r="L43" s="38" t="s">
        <v>203</v>
      </c>
      <c r="M43" s="29" t="s">
        <v>183</v>
      </c>
      <c r="N43" s="29" t="s">
        <v>183</v>
      </c>
      <c r="O43" s="29" t="s">
        <v>183</v>
      </c>
      <c r="P43" s="29" t="s">
        <v>183</v>
      </c>
      <c r="Q43" s="29">
        <v>100</v>
      </c>
      <c r="R43" s="29">
        <v>120</v>
      </c>
      <c r="S43" s="29">
        <v>120</v>
      </c>
      <c r="T43" s="29">
        <v>120</v>
      </c>
      <c r="U43" s="38" t="s">
        <v>65</v>
      </c>
      <c r="V43" s="38" t="s">
        <v>65</v>
      </c>
      <c r="W43" s="38" t="s">
        <v>65</v>
      </c>
      <c r="X43" s="38" t="s">
        <v>65</v>
      </c>
      <c r="Y43" s="38" t="s">
        <v>65</v>
      </c>
      <c r="Z43" s="38" t="s">
        <v>65</v>
      </c>
      <c r="AA43" s="38" t="s">
        <v>65</v>
      </c>
      <c r="AB43" s="29" t="s">
        <v>261</v>
      </c>
      <c r="AC43" s="29" t="s">
        <v>77</v>
      </c>
      <c r="AD43" s="29" t="s">
        <v>77</v>
      </c>
      <c r="AE43" s="29" t="s">
        <v>77</v>
      </c>
      <c r="AF43" s="29" t="s">
        <v>77</v>
      </c>
      <c r="AG43" s="29" t="s">
        <v>77</v>
      </c>
      <c r="AH43" s="29" t="s">
        <v>77</v>
      </c>
      <c r="AI43" s="29" t="s">
        <v>77</v>
      </c>
      <c r="AJ43" s="29" t="s">
        <v>77</v>
      </c>
      <c r="AK43" s="29" t="s">
        <v>77</v>
      </c>
      <c r="AL43" s="29" t="s">
        <v>77</v>
      </c>
      <c r="AM43" s="29" t="s">
        <v>77</v>
      </c>
      <c r="AN43" s="29" t="s">
        <v>77</v>
      </c>
      <c r="AO43" s="38" t="s">
        <v>228</v>
      </c>
      <c r="AP43" s="38" t="s">
        <v>204</v>
      </c>
      <c r="AQ43" s="38" t="s">
        <v>204</v>
      </c>
      <c r="AR43" s="38" t="s">
        <v>204</v>
      </c>
      <c r="AS43" s="38" t="s">
        <v>204</v>
      </c>
      <c r="AT43" s="38" t="s">
        <v>204</v>
      </c>
      <c r="AU43" s="38" t="s">
        <v>204</v>
      </c>
      <c r="AV43" s="38" t="s">
        <v>204</v>
      </c>
      <c r="AW43" s="38" t="s">
        <v>204</v>
      </c>
      <c r="AX43" s="38" t="s">
        <v>204</v>
      </c>
      <c r="AY43" s="38" t="s">
        <v>204</v>
      </c>
      <c r="AZ43" s="38" t="s">
        <v>287</v>
      </c>
      <c r="BA43" s="38" t="s">
        <v>172</v>
      </c>
      <c r="BB43" s="38" t="s">
        <v>172</v>
      </c>
      <c r="BC43" s="38" t="s">
        <v>172</v>
      </c>
      <c r="BD43" s="38" t="s">
        <v>172</v>
      </c>
      <c r="BE43" s="38" t="s">
        <v>172</v>
      </c>
      <c r="BF43" s="38" t="s">
        <v>172</v>
      </c>
      <c r="BG43" s="38" t="s">
        <v>172</v>
      </c>
      <c r="BH43" s="38" t="s">
        <v>172</v>
      </c>
      <c r="BI43" s="38" t="s">
        <v>172</v>
      </c>
      <c r="BJ43" s="38" t="s">
        <v>172</v>
      </c>
      <c r="BK43" s="38">
        <v>190</v>
      </c>
      <c r="BL43" s="38">
        <v>190</v>
      </c>
      <c r="BM43" s="38">
        <v>190</v>
      </c>
      <c r="BN43" s="38">
        <v>1733</v>
      </c>
      <c r="BO43" s="38">
        <v>1733</v>
      </c>
      <c r="BP43" s="38">
        <v>1733</v>
      </c>
      <c r="BQ43" s="38" t="s">
        <v>71</v>
      </c>
      <c r="BR43" s="38" t="s">
        <v>71</v>
      </c>
      <c r="BS43" s="38" t="s">
        <v>71</v>
      </c>
      <c r="BT43" s="38" t="s">
        <v>81</v>
      </c>
      <c r="BU43" s="38" t="s">
        <v>81</v>
      </c>
      <c r="BV43" s="38" t="s">
        <v>81</v>
      </c>
      <c r="BW43" s="38" t="s">
        <v>68</v>
      </c>
      <c r="BX43" s="38" t="s">
        <v>68</v>
      </c>
      <c r="BY43" s="38" t="s">
        <v>68</v>
      </c>
      <c r="BZ43" s="38" t="s">
        <v>68</v>
      </c>
      <c r="CA43" s="38" t="s">
        <v>68</v>
      </c>
      <c r="CB43" s="38" t="s">
        <v>68</v>
      </c>
      <c r="CC43" s="38" t="s">
        <v>68</v>
      </c>
      <c r="CD43" s="38">
        <v>140</v>
      </c>
      <c r="CE43" s="38">
        <v>140</v>
      </c>
      <c r="CF43" s="38">
        <v>140</v>
      </c>
      <c r="CG43" s="31" t="s">
        <v>258</v>
      </c>
      <c r="CH43" s="31" t="s">
        <v>199</v>
      </c>
      <c r="CI43" s="31" t="s">
        <v>199</v>
      </c>
      <c r="CJ43" s="31" t="s">
        <v>199</v>
      </c>
      <c r="CK43" s="38" t="s">
        <v>68</v>
      </c>
      <c r="CL43" s="38" t="s">
        <v>68</v>
      </c>
      <c r="CM43" s="38" t="s">
        <v>205</v>
      </c>
      <c r="CN43" s="38" t="s">
        <v>206</v>
      </c>
      <c r="CO43" s="38" t="s">
        <v>206</v>
      </c>
      <c r="CP43" s="38" t="s">
        <v>206</v>
      </c>
      <c r="CQ43" s="38" t="s">
        <v>206</v>
      </c>
      <c r="CR43" s="38" t="s">
        <v>206</v>
      </c>
      <c r="CS43" s="38" t="s">
        <v>206</v>
      </c>
      <c r="CT43" s="42">
        <v>7.7329999999999997</v>
      </c>
      <c r="CU43" s="42">
        <v>0.1168</v>
      </c>
      <c r="CV43" s="42">
        <v>0.1168</v>
      </c>
      <c r="CW43" s="42">
        <v>0.1168</v>
      </c>
      <c r="CX43" s="42">
        <v>0.1168</v>
      </c>
      <c r="CY43" s="42">
        <v>0.1168</v>
      </c>
      <c r="CZ43" s="42">
        <v>0.1168</v>
      </c>
      <c r="DA43" s="29" t="s">
        <v>81</v>
      </c>
      <c r="DB43" s="29"/>
      <c r="DC43" s="29"/>
      <c r="DD43" s="29"/>
      <c r="DE43" s="29"/>
      <c r="DF43" s="29" t="s">
        <v>81</v>
      </c>
      <c r="DG43" s="29"/>
      <c r="DH43" s="29"/>
      <c r="DI43" s="29"/>
      <c r="DJ43" s="29" t="s">
        <v>81</v>
      </c>
      <c r="DK43" s="29"/>
      <c r="DL43" s="29"/>
      <c r="DM43" s="29"/>
      <c r="DN43" s="29" t="s">
        <v>81</v>
      </c>
      <c r="DO43" s="29"/>
      <c r="DP43" s="29"/>
      <c r="DQ43" s="29"/>
      <c r="DR43" s="29"/>
      <c r="DS43" s="43"/>
      <c r="DT43" s="14">
        <v>38</v>
      </c>
    </row>
    <row r="44" spans="2:130" customFormat="1" ht="14.25" customHeight="1">
      <c r="B44" s="34">
        <v>4809</v>
      </c>
      <c r="C44" s="24"/>
      <c r="D44" s="24"/>
      <c r="E44" s="24"/>
      <c r="F44" s="24"/>
      <c r="G44" s="25"/>
      <c r="H44" s="26" t="s">
        <v>130</v>
      </c>
      <c r="I44" s="26" t="s">
        <v>130</v>
      </c>
      <c r="J44" s="26" t="s">
        <v>130</v>
      </c>
      <c r="K44" s="26" t="s">
        <v>130</v>
      </c>
      <c r="L44" s="26" t="s">
        <v>130</v>
      </c>
      <c r="M44" s="26" t="s">
        <v>155</v>
      </c>
      <c r="N44" s="26" t="s">
        <v>155</v>
      </c>
      <c r="O44" s="26" t="s">
        <v>155</v>
      </c>
      <c r="P44" s="26" t="s">
        <v>155</v>
      </c>
      <c r="Q44" s="26">
        <v>60</v>
      </c>
      <c r="R44" s="31">
        <v>80</v>
      </c>
      <c r="S44" s="31">
        <v>80</v>
      </c>
      <c r="T44" s="31">
        <v>80</v>
      </c>
      <c r="U44" s="31" t="s">
        <v>65</v>
      </c>
      <c r="V44" s="31" t="s">
        <v>65</v>
      </c>
      <c r="W44" s="31" t="s">
        <v>65</v>
      </c>
      <c r="X44" s="31" t="s">
        <v>65</v>
      </c>
      <c r="Y44" s="31" t="s">
        <v>65</v>
      </c>
      <c r="Z44" s="31" t="s">
        <v>65</v>
      </c>
      <c r="AA44" s="31" t="s">
        <v>65</v>
      </c>
      <c r="AB44" s="26" t="s">
        <v>261</v>
      </c>
      <c r="AC44" s="26" t="s">
        <v>77</v>
      </c>
      <c r="AD44" s="26" t="s">
        <v>77</v>
      </c>
      <c r="AE44" s="26" t="s">
        <v>77</v>
      </c>
      <c r="AF44" s="26" t="s">
        <v>77</v>
      </c>
      <c r="AG44" s="26" t="s">
        <v>77</v>
      </c>
      <c r="AH44" s="26" t="s">
        <v>77</v>
      </c>
      <c r="AI44" s="26" t="s">
        <v>77</v>
      </c>
      <c r="AJ44" s="26" t="s">
        <v>77</v>
      </c>
      <c r="AK44" s="26" t="s">
        <v>77</v>
      </c>
      <c r="AL44" s="26" t="s">
        <v>77</v>
      </c>
      <c r="AM44" s="26" t="s">
        <v>77</v>
      </c>
      <c r="AN44" s="26" t="s">
        <v>77</v>
      </c>
      <c r="AO44" s="38" t="s">
        <v>287</v>
      </c>
      <c r="AP44" s="38" t="s">
        <v>172</v>
      </c>
      <c r="AQ44" s="38" t="s">
        <v>172</v>
      </c>
      <c r="AR44" s="38" t="s">
        <v>172</v>
      </c>
      <c r="AS44" s="38" t="s">
        <v>172</v>
      </c>
      <c r="AT44" s="38" t="s">
        <v>172</v>
      </c>
      <c r="AU44" s="38" t="s">
        <v>172</v>
      </c>
      <c r="AV44" s="38" t="s">
        <v>172</v>
      </c>
      <c r="AW44" s="38" t="s">
        <v>172</v>
      </c>
      <c r="AX44" s="38" t="s">
        <v>172</v>
      </c>
      <c r="AY44" s="38" t="s">
        <v>172</v>
      </c>
      <c r="AZ44" s="31" t="s">
        <v>219</v>
      </c>
      <c r="BA44" s="31" t="s">
        <v>153</v>
      </c>
      <c r="BB44" s="31" t="s">
        <v>153</v>
      </c>
      <c r="BC44" s="31" t="s">
        <v>153</v>
      </c>
      <c r="BD44" s="31" t="s">
        <v>153</v>
      </c>
      <c r="BE44" s="31" t="s">
        <v>153</v>
      </c>
      <c r="BF44" s="31" t="s">
        <v>153</v>
      </c>
      <c r="BG44" s="31" t="s">
        <v>153</v>
      </c>
      <c r="BH44" s="31" t="s">
        <v>153</v>
      </c>
      <c r="BI44" s="31" t="s">
        <v>153</v>
      </c>
      <c r="BJ44" s="31" t="s">
        <v>153</v>
      </c>
      <c r="BK44" s="31">
        <v>200</v>
      </c>
      <c r="BL44" s="31">
        <v>200</v>
      </c>
      <c r="BM44" s="31">
        <v>200</v>
      </c>
      <c r="BN44" s="31">
        <v>1030</v>
      </c>
      <c r="BO44" s="31">
        <v>1030</v>
      </c>
      <c r="BP44" s="31">
        <v>1030</v>
      </c>
      <c r="BQ44" s="31" t="s">
        <v>80</v>
      </c>
      <c r="BR44" s="31" t="s">
        <v>80</v>
      </c>
      <c r="BS44" s="31" t="s">
        <v>80</v>
      </c>
      <c r="BT44" s="31" t="s">
        <v>81</v>
      </c>
      <c r="BU44" s="31" t="s">
        <v>81</v>
      </c>
      <c r="BV44" s="31" t="s">
        <v>81</v>
      </c>
      <c r="BW44" s="31" t="s">
        <v>68</v>
      </c>
      <c r="BX44" s="31" t="s">
        <v>68</v>
      </c>
      <c r="BY44" s="31" t="s">
        <v>68</v>
      </c>
      <c r="BZ44" s="31" t="s">
        <v>68</v>
      </c>
      <c r="CA44" s="31" t="s">
        <v>68</v>
      </c>
      <c r="CB44" s="31" t="s">
        <v>68</v>
      </c>
      <c r="CC44" s="31" t="s">
        <v>68</v>
      </c>
      <c r="CD44" s="31">
        <v>134</v>
      </c>
      <c r="CE44" s="31">
        <v>134</v>
      </c>
      <c r="CF44" s="31">
        <v>134</v>
      </c>
      <c r="CG44" s="31">
        <v>440</v>
      </c>
      <c r="CH44" s="31">
        <v>440</v>
      </c>
      <c r="CI44" s="31">
        <v>440</v>
      </c>
      <c r="CJ44" s="31">
        <v>440</v>
      </c>
      <c r="CK44" s="31" t="s">
        <v>68</v>
      </c>
      <c r="CL44" s="31" t="s">
        <v>68</v>
      </c>
      <c r="CM44" s="31" t="s">
        <v>173</v>
      </c>
      <c r="CN44" s="31" t="s">
        <v>174</v>
      </c>
      <c r="CO44" s="31" t="s">
        <v>174</v>
      </c>
      <c r="CP44" s="31" t="s">
        <v>174</v>
      </c>
      <c r="CQ44" s="31" t="s">
        <v>174</v>
      </c>
      <c r="CR44" s="31" t="s">
        <v>174</v>
      </c>
      <c r="CS44" s="31" t="s">
        <v>174</v>
      </c>
      <c r="CT44" s="42">
        <v>7.7329999999999997</v>
      </c>
      <c r="CU44" s="42">
        <v>0.1168</v>
      </c>
      <c r="CV44" s="42">
        <v>0.1168</v>
      </c>
      <c r="CW44" s="42">
        <v>0.1168</v>
      </c>
      <c r="CX44" s="42">
        <v>0.1168</v>
      </c>
      <c r="CY44" s="42">
        <v>0.1168</v>
      </c>
      <c r="CZ44" s="42">
        <v>0.1168</v>
      </c>
      <c r="DA44" s="26" t="s">
        <v>81</v>
      </c>
      <c r="DB44" s="26"/>
      <c r="DC44" s="26"/>
      <c r="DD44" s="26"/>
      <c r="DE44" s="26"/>
      <c r="DF44" s="26" t="s">
        <v>81</v>
      </c>
      <c r="DG44" s="26"/>
      <c r="DH44" s="26"/>
      <c r="DI44" s="26"/>
      <c r="DJ44" s="26" t="s">
        <v>81</v>
      </c>
      <c r="DK44" s="26"/>
      <c r="DL44" s="26"/>
      <c r="DM44" s="26"/>
      <c r="DN44" s="26" t="s">
        <v>81</v>
      </c>
      <c r="DO44" s="26"/>
      <c r="DP44" s="26"/>
      <c r="DQ44" s="26"/>
      <c r="DR44" s="26"/>
      <c r="DS44" s="27"/>
      <c r="DT44" s="14">
        <v>39</v>
      </c>
    </row>
    <row r="45" spans="2:130" customFormat="1" ht="14.25" customHeight="1">
      <c r="B45" s="34">
        <v>4810</v>
      </c>
      <c r="C45" s="24"/>
      <c r="D45" s="24"/>
      <c r="E45" s="24"/>
      <c r="F45" s="24"/>
      <c r="G45" s="25"/>
      <c r="H45" s="35" t="s">
        <v>130</v>
      </c>
      <c r="I45" s="36" t="s">
        <v>130</v>
      </c>
      <c r="J45" s="36" t="s">
        <v>130</v>
      </c>
      <c r="K45" s="36" t="s">
        <v>130</v>
      </c>
      <c r="L45" s="37" t="s">
        <v>130</v>
      </c>
      <c r="M45" s="23" t="s">
        <v>183</v>
      </c>
      <c r="N45" s="24" t="s">
        <v>183</v>
      </c>
      <c r="O45" s="24" t="s">
        <v>183</v>
      </c>
      <c r="P45" s="25" t="s">
        <v>183</v>
      </c>
      <c r="Q45" s="23">
        <v>100</v>
      </c>
      <c r="R45" s="24" t="s">
        <v>179</v>
      </c>
      <c r="S45" s="24" t="s">
        <v>179</v>
      </c>
      <c r="T45" s="25" t="s">
        <v>179</v>
      </c>
      <c r="U45" s="35" t="s">
        <v>65</v>
      </c>
      <c r="V45" s="36" t="s">
        <v>65</v>
      </c>
      <c r="W45" s="36" t="s">
        <v>65</v>
      </c>
      <c r="X45" s="36" t="s">
        <v>65</v>
      </c>
      <c r="Y45" s="36" t="s">
        <v>65</v>
      </c>
      <c r="Z45" s="36" t="s">
        <v>65</v>
      </c>
      <c r="AA45" s="37" t="s">
        <v>65</v>
      </c>
      <c r="AB45" s="29" t="s">
        <v>261</v>
      </c>
      <c r="AC45" s="29" t="s">
        <v>77</v>
      </c>
      <c r="AD45" s="29" t="s">
        <v>77</v>
      </c>
      <c r="AE45" s="29" t="s">
        <v>77</v>
      </c>
      <c r="AF45" s="29" t="s">
        <v>77</v>
      </c>
      <c r="AG45" s="29" t="s">
        <v>77</v>
      </c>
      <c r="AH45" s="29" t="s">
        <v>77</v>
      </c>
      <c r="AI45" s="29" t="s">
        <v>77</v>
      </c>
      <c r="AJ45" s="29" t="s">
        <v>77</v>
      </c>
      <c r="AK45" s="29" t="s">
        <v>77</v>
      </c>
      <c r="AL45" s="29" t="s">
        <v>77</v>
      </c>
      <c r="AM45" s="29" t="s">
        <v>77</v>
      </c>
      <c r="AN45" s="29" t="s">
        <v>77</v>
      </c>
      <c r="AO45" s="35" t="s">
        <v>286</v>
      </c>
      <c r="AP45" s="36" t="s">
        <v>202</v>
      </c>
      <c r="AQ45" s="36" t="s">
        <v>202</v>
      </c>
      <c r="AR45" s="36" t="s">
        <v>202</v>
      </c>
      <c r="AS45" s="36" t="s">
        <v>202</v>
      </c>
      <c r="AT45" s="36" t="s">
        <v>202</v>
      </c>
      <c r="AU45" s="36" t="s">
        <v>202</v>
      </c>
      <c r="AV45" s="36" t="s">
        <v>202</v>
      </c>
      <c r="AW45" s="36" t="s">
        <v>202</v>
      </c>
      <c r="AX45" s="36" t="s">
        <v>202</v>
      </c>
      <c r="AY45" s="37" t="s">
        <v>202</v>
      </c>
      <c r="AZ45" s="35" t="s">
        <v>230</v>
      </c>
      <c r="BA45" s="36" t="s">
        <v>230</v>
      </c>
      <c r="BB45" s="36" t="s">
        <v>230</v>
      </c>
      <c r="BC45" s="36" t="s">
        <v>230</v>
      </c>
      <c r="BD45" s="36" t="s">
        <v>230</v>
      </c>
      <c r="BE45" s="36" t="s">
        <v>230</v>
      </c>
      <c r="BF45" s="36" t="s">
        <v>230</v>
      </c>
      <c r="BG45" s="36" t="s">
        <v>230</v>
      </c>
      <c r="BH45" s="36" t="s">
        <v>230</v>
      </c>
      <c r="BI45" s="36" t="s">
        <v>230</v>
      </c>
      <c r="BJ45" s="37" t="s">
        <v>230</v>
      </c>
      <c r="BK45" s="35">
        <v>190</v>
      </c>
      <c r="BL45" s="36">
        <v>190</v>
      </c>
      <c r="BM45" s="37">
        <v>190</v>
      </c>
      <c r="BN45" s="35">
        <v>1733</v>
      </c>
      <c r="BO45" s="36">
        <v>1733</v>
      </c>
      <c r="BP45" s="37">
        <v>1733</v>
      </c>
      <c r="BQ45" s="35" t="s">
        <v>71</v>
      </c>
      <c r="BR45" s="36" t="s">
        <v>71</v>
      </c>
      <c r="BS45" s="37" t="s">
        <v>71</v>
      </c>
      <c r="BT45" s="23">
        <v>10</v>
      </c>
      <c r="BU45" s="24">
        <v>10</v>
      </c>
      <c r="BV45" s="25">
        <v>10</v>
      </c>
      <c r="BW45" s="35" t="s">
        <v>81</v>
      </c>
      <c r="BX45" s="36" t="s">
        <v>81</v>
      </c>
      <c r="BY45" s="36" t="s">
        <v>81</v>
      </c>
      <c r="BZ45" s="37" t="s">
        <v>81</v>
      </c>
      <c r="CA45" s="23" t="s">
        <v>81</v>
      </c>
      <c r="CB45" s="24">
        <v>0.66046704861345396</v>
      </c>
      <c r="CC45" s="25">
        <v>0.66046704861345396</v>
      </c>
      <c r="CD45" s="35">
        <v>140</v>
      </c>
      <c r="CE45" s="36">
        <v>140</v>
      </c>
      <c r="CF45" s="37">
        <v>140</v>
      </c>
      <c r="CG45" s="31" t="s">
        <v>258</v>
      </c>
      <c r="CH45" s="31" t="s">
        <v>199</v>
      </c>
      <c r="CI45" s="31" t="s">
        <v>199</v>
      </c>
      <c r="CJ45" s="31" t="s">
        <v>199</v>
      </c>
      <c r="CK45" s="45" t="s">
        <v>229</v>
      </c>
      <c r="CL45" s="37" t="s">
        <v>229</v>
      </c>
      <c r="CM45" s="35" t="s">
        <v>200</v>
      </c>
      <c r="CN45" s="36" t="s">
        <v>201</v>
      </c>
      <c r="CO45" s="36" t="s">
        <v>201</v>
      </c>
      <c r="CP45" s="36" t="s">
        <v>201</v>
      </c>
      <c r="CQ45" s="36" t="s">
        <v>201</v>
      </c>
      <c r="CR45" s="36" t="s">
        <v>201</v>
      </c>
      <c r="CS45" s="37" t="s">
        <v>201</v>
      </c>
      <c r="CT45" s="42">
        <v>7.7329999999999997</v>
      </c>
      <c r="CU45" s="42">
        <v>0.1168</v>
      </c>
      <c r="CV45" s="42">
        <v>0.1168</v>
      </c>
      <c r="CW45" s="42">
        <v>0.1168</v>
      </c>
      <c r="CX45" s="42">
        <v>0.1168</v>
      </c>
      <c r="CY45" s="42">
        <v>0.1168</v>
      </c>
      <c r="CZ45" s="42">
        <v>0.1168</v>
      </c>
      <c r="DA45" s="23" t="s">
        <v>81</v>
      </c>
      <c r="DB45" s="24"/>
      <c r="DC45" s="24"/>
      <c r="DD45" s="24"/>
      <c r="DE45" s="24"/>
      <c r="DF45" s="23" t="s">
        <v>81</v>
      </c>
      <c r="DG45" s="24"/>
      <c r="DH45" s="24"/>
      <c r="DI45" s="25"/>
      <c r="DJ45" s="23" t="s">
        <v>81</v>
      </c>
      <c r="DK45" s="24"/>
      <c r="DL45" s="24"/>
      <c r="DM45" s="25"/>
      <c r="DN45" s="23" t="s">
        <v>81</v>
      </c>
      <c r="DO45" s="24"/>
      <c r="DP45" s="24"/>
      <c r="DQ45" s="24"/>
      <c r="DR45" s="24"/>
      <c r="DS45" s="44"/>
      <c r="DT45" s="14">
        <v>40</v>
      </c>
    </row>
    <row r="46" spans="2:130" ht="8.25" customHeight="1">
      <c r="B46" s="319" t="s">
        <v>43</v>
      </c>
      <c r="C46" s="320"/>
      <c r="D46" s="320"/>
      <c r="E46" s="320"/>
      <c r="F46" s="320"/>
      <c r="G46" s="320"/>
      <c r="H46" s="320"/>
      <c r="I46" s="320"/>
      <c r="J46" s="320"/>
      <c r="K46" s="320"/>
      <c r="L46" s="320"/>
      <c r="M46" s="320"/>
      <c r="N46" s="320"/>
      <c r="O46" s="320"/>
      <c r="P46" s="321"/>
      <c r="Q46" s="325" t="s">
        <v>44</v>
      </c>
      <c r="R46" s="326"/>
      <c r="S46" s="326"/>
      <c r="T46" s="326"/>
      <c r="U46" s="326"/>
      <c r="V46" s="326"/>
      <c r="W46" s="326"/>
      <c r="X46" s="326"/>
      <c r="Y46" s="326"/>
      <c r="Z46" s="326"/>
      <c r="AA46" s="326"/>
      <c r="AB46" s="326"/>
      <c r="AC46" s="326"/>
      <c r="AD46" s="326"/>
      <c r="AE46" s="326"/>
      <c r="AF46" s="326"/>
      <c r="AG46" s="326"/>
      <c r="AH46" s="326"/>
      <c r="AI46" s="326"/>
      <c r="AJ46" s="326"/>
      <c r="AK46" s="326"/>
      <c r="AL46" s="326"/>
      <c r="AM46" s="326"/>
      <c r="AN46" s="326"/>
      <c r="AO46" s="326"/>
      <c r="AP46" s="326"/>
      <c r="AQ46" s="326"/>
      <c r="AR46" s="326"/>
      <c r="AS46" s="326"/>
      <c r="AT46" s="326"/>
      <c r="AU46" s="326"/>
      <c r="AV46" s="326"/>
      <c r="AW46" s="326"/>
      <c r="AX46" s="326"/>
      <c r="AY46" s="326"/>
      <c r="AZ46" s="326"/>
      <c r="BA46" s="326"/>
      <c r="BB46" s="326"/>
      <c r="BC46" s="326"/>
      <c r="BD46" s="326"/>
      <c r="BE46" s="327"/>
      <c r="BF46" s="65" t="s">
        <v>33</v>
      </c>
      <c r="BG46" s="66"/>
      <c r="BH46" s="66"/>
      <c r="BI46" s="66"/>
      <c r="BJ46" s="66"/>
      <c r="BK46" s="66"/>
      <c r="BL46" s="66"/>
      <c r="BM46" s="66"/>
      <c r="BN46" s="66"/>
      <c r="BO46" s="66"/>
      <c r="BP46" s="66"/>
      <c r="BQ46" s="66"/>
      <c r="BR46" s="66"/>
      <c r="BS46" s="66"/>
      <c r="BT46" s="66"/>
      <c r="BU46" s="66"/>
      <c r="BV46" s="66"/>
      <c r="BW46" s="66"/>
      <c r="BX46" s="66"/>
      <c r="BY46" s="66"/>
      <c r="BZ46" s="66"/>
      <c r="CA46" s="66"/>
      <c r="CB46" s="66"/>
      <c r="CC46" s="66"/>
      <c r="CD46" s="66"/>
      <c r="CE46" s="66"/>
      <c r="CF46" s="66"/>
      <c r="CG46" s="66"/>
      <c r="CH46" s="66"/>
      <c r="CI46" s="66"/>
      <c r="CJ46" s="66"/>
      <c r="CK46" s="66"/>
      <c r="CL46" s="66"/>
      <c r="CM46" s="66"/>
      <c r="CN46" s="67"/>
      <c r="CO46" s="50" t="s">
        <v>18</v>
      </c>
      <c r="CP46" s="51"/>
      <c r="CQ46" s="51"/>
      <c r="CR46" s="51"/>
      <c r="CS46" s="51"/>
      <c r="CT46" s="51"/>
      <c r="CU46" s="51"/>
      <c r="CV46" s="51"/>
      <c r="CW46" s="51"/>
      <c r="CX46" s="51"/>
      <c r="CY46" s="51"/>
      <c r="CZ46" s="51"/>
      <c r="DA46" s="51"/>
      <c r="DB46" s="51"/>
      <c r="DC46" s="51"/>
      <c r="DD46" s="51"/>
      <c r="DE46" s="51"/>
      <c r="DF46" s="51"/>
      <c r="DG46" s="51"/>
      <c r="DH46" s="51"/>
      <c r="DI46" s="51"/>
      <c r="DJ46" s="51"/>
      <c r="DK46" s="51"/>
      <c r="DL46" s="51"/>
      <c r="DM46" s="51"/>
      <c r="DN46" s="51"/>
      <c r="DO46" s="51"/>
      <c r="DP46" s="51"/>
      <c r="DQ46" s="51"/>
      <c r="DR46" s="51"/>
      <c r="DS46" s="52"/>
      <c r="DT46" s="15"/>
    </row>
    <row r="47" spans="2:130" ht="12.75" customHeight="1">
      <c r="B47" s="322"/>
      <c r="C47" s="323"/>
      <c r="D47" s="323"/>
      <c r="E47" s="323"/>
      <c r="F47" s="323"/>
      <c r="G47" s="323"/>
      <c r="H47" s="323"/>
      <c r="I47" s="323"/>
      <c r="J47" s="323"/>
      <c r="K47" s="323"/>
      <c r="L47" s="323"/>
      <c r="M47" s="323"/>
      <c r="N47" s="323"/>
      <c r="O47" s="323"/>
      <c r="P47" s="324"/>
      <c r="Q47" s="328"/>
      <c r="R47" s="329"/>
      <c r="S47" s="329"/>
      <c r="T47" s="329"/>
      <c r="U47" s="329"/>
      <c r="V47" s="329"/>
      <c r="W47" s="329"/>
      <c r="X47" s="329"/>
      <c r="Y47" s="329"/>
      <c r="Z47" s="329"/>
      <c r="AA47" s="329"/>
      <c r="AB47" s="329"/>
      <c r="AC47" s="329"/>
      <c r="AD47" s="329"/>
      <c r="AE47" s="329"/>
      <c r="AF47" s="329"/>
      <c r="AG47" s="329"/>
      <c r="AH47" s="329"/>
      <c r="AI47" s="329"/>
      <c r="AJ47" s="329"/>
      <c r="AK47" s="329"/>
      <c r="AL47" s="329"/>
      <c r="AM47" s="329"/>
      <c r="AN47" s="329"/>
      <c r="AO47" s="329"/>
      <c r="AP47" s="329"/>
      <c r="AQ47" s="329"/>
      <c r="AR47" s="329"/>
      <c r="AS47" s="329"/>
      <c r="AT47" s="329"/>
      <c r="AU47" s="329"/>
      <c r="AV47" s="329"/>
      <c r="AW47" s="329"/>
      <c r="AX47" s="329"/>
      <c r="AY47" s="329"/>
      <c r="AZ47" s="329"/>
      <c r="BA47" s="329"/>
      <c r="BB47" s="329"/>
      <c r="BC47" s="329"/>
      <c r="BD47" s="329"/>
      <c r="BE47" s="330"/>
      <c r="BF47" s="68"/>
      <c r="BG47" s="69"/>
      <c r="BH47" s="69"/>
      <c r="BI47" s="69"/>
      <c r="BJ47" s="69"/>
      <c r="BK47" s="69"/>
      <c r="BL47" s="69"/>
      <c r="BM47" s="69"/>
      <c r="BN47" s="69"/>
      <c r="BO47" s="69"/>
      <c r="BP47" s="69"/>
      <c r="BQ47" s="69"/>
      <c r="BR47" s="69"/>
      <c r="BS47" s="69"/>
      <c r="BT47" s="69"/>
      <c r="BU47" s="69"/>
      <c r="BV47" s="69"/>
      <c r="BW47" s="69"/>
      <c r="BX47" s="69"/>
      <c r="BY47" s="69"/>
      <c r="BZ47" s="69"/>
      <c r="CA47" s="69"/>
      <c r="CB47" s="69"/>
      <c r="CC47" s="69"/>
      <c r="CD47" s="69"/>
      <c r="CE47" s="69"/>
      <c r="CF47" s="69"/>
      <c r="CG47" s="69"/>
      <c r="CH47" s="69"/>
      <c r="CI47" s="69"/>
      <c r="CJ47" s="69"/>
      <c r="CK47" s="69"/>
      <c r="CL47" s="69"/>
      <c r="CM47" s="69"/>
      <c r="CN47" s="70"/>
      <c r="CO47" s="53"/>
      <c r="CP47" s="54"/>
      <c r="CQ47" s="54"/>
      <c r="CR47" s="54"/>
      <c r="CS47" s="54"/>
      <c r="CT47" s="54"/>
      <c r="CU47" s="54"/>
      <c r="CV47" s="54"/>
      <c r="CW47" s="54"/>
      <c r="CX47" s="54"/>
      <c r="CY47" s="54"/>
      <c r="CZ47" s="54"/>
      <c r="DA47" s="54"/>
      <c r="DB47" s="54"/>
      <c r="DC47" s="54"/>
      <c r="DD47" s="54"/>
      <c r="DE47" s="54"/>
      <c r="DF47" s="54"/>
      <c r="DG47" s="54"/>
      <c r="DH47" s="54"/>
      <c r="DI47" s="54"/>
      <c r="DJ47" s="54"/>
      <c r="DK47" s="54"/>
      <c r="DL47" s="54"/>
      <c r="DM47" s="54"/>
      <c r="DN47" s="54"/>
      <c r="DO47" s="54"/>
      <c r="DP47" s="54"/>
      <c r="DQ47" s="54"/>
      <c r="DR47" s="54"/>
      <c r="DS47" s="55"/>
      <c r="DT47" s="16"/>
      <c r="DU47" s="2"/>
      <c r="DV47" s="2"/>
      <c r="DW47" s="2"/>
      <c r="DX47" s="2"/>
      <c r="DY47" s="2"/>
      <c r="DZ47" s="2"/>
    </row>
    <row r="48" spans="2:130" ht="12.75" customHeight="1">
      <c r="B48" s="331" t="s">
        <v>260</v>
      </c>
      <c r="C48" s="332"/>
      <c r="D48" s="332"/>
      <c r="E48" s="332"/>
      <c r="F48" s="332"/>
      <c r="G48" s="332"/>
      <c r="H48" s="332"/>
      <c r="I48" s="332"/>
      <c r="J48" s="332"/>
      <c r="K48" s="332"/>
      <c r="L48" s="332"/>
      <c r="M48" s="332"/>
      <c r="N48" s="332"/>
      <c r="O48" s="332"/>
      <c r="P48" s="333"/>
      <c r="Q48" s="337" t="s">
        <v>293</v>
      </c>
      <c r="R48" s="338"/>
      <c r="S48" s="338"/>
      <c r="T48" s="338"/>
      <c r="U48" s="338"/>
      <c r="V48" s="338"/>
      <c r="W48" s="338"/>
      <c r="X48" s="338"/>
      <c r="Y48" s="338"/>
      <c r="Z48" s="338"/>
      <c r="AA48" s="338"/>
      <c r="AB48" s="338"/>
      <c r="AC48" s="338"/>
      <c r="AD48" s="338"/>
      <c r="AE48" s="338"/>
      <c r="AF48" s="338"/>
      <c r="AG48" s="338"/>
      <c r="AH48" s="338"/>
      <c r="AI48" s="338"/>
      <c r="AJ48" s="338"/>
      <c r="AK48" s="338"/>
      <c r="AL48" s="338"/>
      <c r="AM48" s="338"/>
      <c r="AN48" s="338"/>
      <c r="AO48" s="338"/>
      <c r="AP48" s="338"/>
      <c r="AQ48" s="338"/>
      <c r="AR48" s="338"/>
      <c r="AS48" s="338"/>
      <c r="AT48" s="338"/>
      <c r="AU48" s="338"/>
      <c r="AV48" s="338"/>
      <c r="AW48" s="338"/>
      <c r="AX48" s="338"/>
      <c r="AY48" s="338"/>
      <c r="AZ48" s="338"/>
      <c r="BA48" s="338"/>
      <c r="BB48" s="338"/>
      <c r="BC48" s="338"/>
      <c r="BD48" s="338"/>
      <c r="BE48" s="339"/>
      <c r="BF48" s="351" t="s">
        <v>60</v>
      </c>
      <c r="BG48" s="352"/>
      <c r="BH48" s="352"/>
      <c r="BI48" s="352"/>
      <c r="BJ48" s="352"/>
      <c r="BK48" s="352"/>
      <c r="BL48" s="352"/>
      <c r="BM48" s="352"/>
      <c r="BN48" s="350" t="str">
        <f>REV_NUMBER</f>
        <v>C</v>
      </c>
      <c r="BO48" s="350"/>
      <c r="BP48" s="350"/>
      <c r="BQ48" s="290" t="s">
        <v>58</v>
      </c>
      <c r="BR48" s="290"/>
      <c r="BS48" s="290"/>
      <c r="BT48" s="290"/>
      <c r="BU48" s="290"/>
      <c r="BV48" s="290"/>
      <c r="BW48" s="290"/>
      <c r="BX48" s="290"/>
      <c r="BY48" s="290"/>
      <c r="BZ48" s="290"/>
      <c r="CA48" s="290"/>
      <c r="CB48" s="290"/>
      <c r="CC48" s="290"/>
      <c r="CD48" s="290"/>
      <c r="CE48" s="290"/>
      <c r="CF48" s="290"/>
      <c r="CG48" s="290"/>
      <c r="CH48" s="290"/>
      <c r="CI48" s="290"/>
      <c r="CJ48" s="290"/>
      <c r="CK48" s="290"/>
      <c r="CL48" s="290"/>
      <c r="CM48" s="290"/>
      <c r="CN48" s="291"/>
      <c r="CO48" s="56"/>
      <c r="CP48" s="57"/>
      <c r="CQ48" s="57"/>
      <c r="CR48" s="57"/>
      <c r="CS48" s="57"/>
      <c r="CT48" s="57"/>
      <c r="CU48" s="57"/>
      <c r="CV48" s="57"/>
      <c r="CW48" s="57"/>
      <c r="CX48" s="57"/>
      <c r="CY48" s="57"/>
      <c r="CZ48" s="57"/>
      <c r="DA48" s="57"/>
      <c r="DB48" s="57"/>
      <c r="DC48" s="57"/>
      <c r="DD48" s="57"/>
      <c r="DE48" s="57"/>
      <c r="DF48" s="57"/>
      <c r="DG48" s="57"/>
      <c r="DH48" s="57"/>
      <c r="DI48" s="57"/>
      <c r="DJ48" s="57"/>
      <c r="DK48" s="57"/>
      <c r="DL48" s="57"/>
      <c r="DM48" s="57"/>
      <c r="DN48" s="57"/>
      <c r="DO48" s="57"/>
      <c r="DP48" s="57"/>
      <c r="DQ48" s="57"/>
      <c r="DR48" s="57"/>
      <c r="DS48" s="58"/>
      <c r="DT48" s="16"/>
      <c r="DU48" s="2"/>
      <c r="DV48" s="2"/>
      <c r="DW48" s="2"/>
      <c r="DX48" s="2"/>
      <c r="DY48" s="2"/>
      <c r="DZ48" s="2"/>
    </row>
    <row r="49" spans="2:130" ht="12.75" customHeight="1">
      <c r="B49" s="331"/>
      <c r="C49" s="332"/>
      <c r="D49" s="332"/>
      <c r="E49" s="332"/>
      <c r="F49" s="332"/>
      <c r="G49" s="332"/>
      <c r="H49" s="332"/>
      <c r="I49" s="332"/>
      <c r="J49" s="332"/>
      <c r="K49" s="332"/>
      <c r="L49" s="332"/>
      <c r="M49" s="332"/>
      <c r="N49" s="332"/>
      <c r="O49" s="332"/>
      <c r="P49" s="333"/>
      <c r="Q49" s="337"/>
      <c r="R49" s="338"/>
      <c r="S49" s="338"/>
      <c r="T49" s="338"/>
      <c r="U49" s="338"/>
      <c r="V49" s="338"/>
      <c r="W49" s="338"/>
      <c r="X49" s="338"/>
      <c r="Y49" s="338"/>
      <c r="Z49" s="338"/>
      <c r="AA49" s="338"/>
      <c r="AB49" s="338"/>
      <c r="AC49" s="338"/>
      <c r="AD49" s="338"/>
      <c r="AE49" s="338"/>
      <c r="AF49" s="338"/>
      <c r="AG49" s="338"/>
      <c r="AH49" s="338"/>
      <c r="AI49" s="338"/>
      <c r="AJ49" s="338"/>
      <c r="AK49" s="338"/>
      <c r="AL49" s="338"/>
      <c r="AM49" s="338"/>
      <c r="AN49" s="338"/>
      <c r="AO49" s="338"/>
      <c r="AP49" s="338"/>
      <c r="AQ49" s="338"/>
      <c r="AR49" s="338"/>
      <c r="AS49" s="338"/>
      <c r="AT49" s="338"/>
      <c r="AU49" s="338"/>
      <c r="AV49" s="338"/>
      <c r="AW49" s="338"/>
      <c r="AX49" s="338"/>
      <c r="AY49" s="338"/>
      <c r="AZ49" s="338"/>
      <c r="BA49" s="338"/>
      <c r="BB49" s="338"/>
      <c r="BC49" s="338"/>
      <c r="BD49" s="338"/>
      <c r="BE49" s="339"/>
      <c r="BF49" s="287" t="s">
        <v>59</v>
      </c>
      <c r="BG49" s="288"/>
      <c r="BH49" s="288"/>
      <c r="BI49" s="288"/>
      <c r="BJ49" s="288"/>
      <c r="BK49" s="288"/>
      <c r="BL49" s="288"/>
      <c r="BM49" s="288"/>
      <c r="BN49" s="288"/>
      <c r="BO49" s="288"/>
      <c r="BP49" s="288"/>
      <c r="BQ49" s="288"/>
      <c r="BR49" s="288"/>
      <c r="BS49" s="288"/>
      <c r="BT49" s="288"/>
      <c r="BU49" s="288"/>
      <c r="BV49" s="288"/>
      <c r="BW49" s="288"/>
      <c r="BX49" s="288"/>
      <c r="BY49" s="288"/>
      <c r="BZ49" s="288"/>
      <c r="CA49" s="288"/>
      <c r="CB49" s="288"/>
      <c r="CC49" s="288"/>
      <c r="CD49" s="288"/>
      <c r="CE49" s="288"/>
      <c r="CF49" s="288"/>
      <c r="CG49" s="288"/>
      <c r="CH49" s="288"/>
      <c r="CI49" s="288"/>
      <c r="CJ49" s="288"/>
      <c r="CK49" s="288"/>
      <c r="CL49" s="288"/>
      <c r="CM49" s="288"/>
      <c r="CN49" s="289"/>
      <c r="CO49" s="254" t="s">
        <v>30</v>
      </c>
      <c r="CP49" s="254"/>
      <c r="CQ49" s="254"/>
      <c r="CR49" s="254"/>
      <c r="CS49" s="254"/>
      <c r="CT49" s="254"/>
      <c r="CU49" s="254"/>
      <c r="CV49" s="254"/>
      <c r="CW49" s="254"/>
      <c r="CX49" s="254"/>
      <c r="CY49" s="254"/>
      <c r="CZ49" s="254"/>
      <c r="DA49" s="254"/>
      <c r="DB49" s="254"/>
      <c r="DC49" s="254"/>
      <c r="DD49" s="254"/>
      <c r="DE49" s="254"/>
      <c r="DF49" s="254"/>
      <c r="DG49" s="254"/>
      <c r="DH49" s="254"/>
      <c r="DI49" s="254"/>
      <c r="DJ49" s="254"/>
      <c r="DK49" s="254"/>
      <c r="DL49" s="254"/>
      <c r="DM49" s="254"/>
      <c r="DN49" s="255"/>
      <c r="DO49" s="178" t="s">
        <v>19</v>
      </c>
      <c r="DP49" s="179"/>
      <c r="DQ49" s="179"/>
      <c r="DR49" s="179"/>
      <c r="DS49" s="180"/>
      <c r="DU49" s="3"/>
      <c r="DV49" s="3"/>
      <c r="DW49" s="3"/>
      <c r="DX49" s="3"/>
      <c r="DY49" s="3"/>
      <c r="DZ49" s="3"/>
    </row>
    <row r="50" spans="2:130" ht="9.75" customHeight="1">
      <c r="B50" s="331"/>
      <c r="C50" s="332"/>
      <c r="D50" s="332"/>
      <c r="E50" s="332"/>
      <c r="F50" s="332"/>
      <c r="G50" s="332"/>
      <c r="H50" s="332"/>
      <c r="I50" s="332"/>
      <c r="J50" s="332"/>
      <c r="K50" s="332"/>
      <c r="L50" s="332"/>
      <c r="M50" s="332"/>
      <c r="N50" s="332"/>
      <c r="O50" s="332"/>
      <c r="P50" s="333"/>
      <c r="Q50" s="337"/>
      <c r="R50" s="338"/>
      <c r="S50" s="338"/>
      <c r="T50" s="338"/>
      <c r="U50" s="338"/>
      <c r="V50" s="338"/>
      <c r="W50" s="338"/>
      <c r="X50" s="338"/>
      <c r="Y50" s="338"/>
      <c r="Z50" s="338"/>
      <c r="AA50" s="338"/>
      <c r="AB50" s="338"/>
      <c r="AC50" s="338"/>
      <c r="AD50" s="338"/>
      <c r="AE50" s="338"/>
      <c r="AF50" s="338"/>
      <c r="AG50" s="338"/>
      <c r="AH50" s="338"/>
      <c r="AI50" s="338"/>
      <c r="AJ50" s="338"/>
      <c r="AK50" s="338"/>
      <c r="AL50" s="338"/>
      <c r="AM50" s="338"/>
      <c r="AN50" s="338"/>
      <c r="AO50" s="338"/>
      <c r="AP50" s="338"/>
      <c r="AQ50" s="338"/>
      <c r="AR50" s="338"/>
      <c r="AS50" s="338"/>
      <c r="AT50" s="338"/>
      <c r="AU50" s="338"/>
      <c r="AV50" s="338"/>
      <c r="AW50" s="338"/>
      <c r="AX50" s="338"/>
      <c r="AY50" s="338"/>
      <c r="AZ50" s="338"/>
      <c r="BA50" s="338"/>
      <c r="BB50" s="338"/>
      <c r="BC50" s="338"/>
      <c r="BD50" s="338"/>
      <c r="BE50" s="339"/>
      <c r="BF50" s="295" t="s">
        <v>48</v>
      </c>
      <c r="BG50" s="296"/>
      <c r="BH50" s="296"/>
      <c r="BI50" s="296"/>
      <c r="BJ50" s="296"/>
      <c r="BK50" s="296"/>
      <c r="BL50" s="296"/>
      <c r="BM50" s="296"/>
      <c r="BN50" s="296"/>
      <c r="BO50" s="296"/>
      <c r="BP50" s="296"/>
      <c r="BQ50" s="296"/>
      <c r="BR50" s="296"/>
      <c r="BS50" s="296"/>
      <c r="BT50" s="296"/>
      <c r="BU50" s="296"/>
      <c r="BV50" s="296"/>
      <c r="BW50" s="296"/>
      <c r="BX50" s="296"/>
      <c r="BY50" s="296"/>
      <c r="BZ50" s="296"/>
      <c r="CA50" s="296"/>
      <c r="CB50" s="296"/>
      <c r="CC50" s="296"/>
      <c r="CD50" s="296"/>
      <c r="CE50" s="296"/>
      <c r="CF50" s="296"/>
      <c r="CG50" s="296"/>
      <c r="CH50" s="296"/>
      <c r="CI50" s="296"/>
      <c r="CJ50" s="296"/>
      <c r="CK50" s="296"/>
      <c r="CL50" s="296"/>
      <c r="CM50" s="296"/>
      <c r="CN50" s="297"/>
      <c r="CO50" s="256"/>
      <c r="CP50" s="256"/>
      <c r="CQ50" s="256"/>
      <c r="CR50" s="256"/>
      <c r="CS50" s="256"/>
      <c r="CT50" s="256"/>
      <c r="CU50" s="256"/>
      <c r="CV50" s="256"/>
      <c r="CW50" s="256"/>
      <c r="CX50" s="256"/>
      <c r="CY50" s="256"/>
      <c r="CZ50" s="256"/>
      <c r="DA50" s="256"/>
      <c r="DB50" s="256"/>
      <c r="DC50" s="256"/>
      <c r="DD50" s="256"/>
      <c r="DE50" s="256"/>
      <c r="DF50" s="256"/>
      <c r="DG50" s="256"/>
      <c r="DH50" s="256"/>
      <c r="DI50" s="256"/>
      <c r="DJ50" s="256"/>
      <c r="DK50" s="256"/>
      <c r="DL50" s="256"/>
      <c r="DM50" s="256"/>
      <c r="DN50" s="257"/>
      <c r="DO50" s="71" t="s">
        <v>28</v>
      </c>
      <c r="DP50" s="72"/>
      <c r="DQ50" s="72"/>
      <c r="DR50" s="72"/>
      <c r="DS50" s="73"/>
      <c r="DU50" s="3"/>
      <c r="DV50" s="3"/>
      <c r="DW50" s="3"/>
      <c r="DX50" s="3"/>
      <c r="DY50" s="3"/>
      <c r="DZ50" s="3"/>
    </row>
    <row r="51" spans="2:130" ht="15" customHeight="1">
      <c r="B51" s="331"/>
      <c r="C51" s="332"/>
      <c r="D51" s="332"/>
      <c r="E51" s="332"/>
      <c r="F51" s="332"/>
      <c r="G51" s="332"/>
      <c r="H51" s="332"/>
      <c r="I51" s="332"/>
      <c r="J51" s="332"/>
      <c r="K51" s="332"/>
      <c r="L51" s="332"/>
      <c r="M51" s="332"/>
      <c r="N51" s="332"/>
      <c r="O51" s="332"/>
      <c r="P51" s="333"/>
      <c r="Q51" s="337"/>
      <c r="R51" s="338"/>
      <c r="S51" s="338"/>
      <c r="T51" s="338"/>
      <c r="U51" s="338"/>
      <c r="V51" s="338"/>
      <c r="W51" s="338"/>
      <c r="X51" s="338"/>
      <c r="Y51" s="338"/>
      <c r="Z51" s="338"/>
      <c r="AA51" s="338"/>
      <c r="AB51" s="338"/>
      <c r="AC51" s="338"/>
      <c r="AD51" s="338"/>
      <c r="AE51" s="338"/>
      <c r="AF51" s="338"/>
      <c r="AG51" s="338"/>
      <c r="AH51" s="338"/>
      <c r="AI51" s="338"/>
      <c r="AJ51" s="338"/>
      <c r="AK51" s="338"/>
      <c r="AL51" s="338"/>
      <c r="AM51" s="338"/>
      <c r="AN51" s="338"/>
      <c r="AO51" s="338"/>
      <c r="AP51" s="338"/>
      <c r="AQ51" s="338"/>
      <c r="AR51" s="338"/>
      <c r="AS51" s="338"/>
      <c r="AT51" s="338"/>
      <c r="AU51" s="338"/>
      <c r="AV51" s="338"/>
      <c r="AW51" s="338"/>
      <c r="AX51" s="338"/>
      <c r="AY51" s="338"/>
      <c r="AZ51" s="338"/>
      <c r="BA51" s="338"/>
      <c r="BB51" s="338"/>
      <c r="BC51" s="338"/>
      <c r="BD51" s="338"/>
      <c r="BE51" s="339"/>
      <c r="BF51" s="295"/>
      <c r="BG51" s="296"/>
      <c r="BH51" s="296"/>
      <c r="BI51" s="296"/>
      <c r="BJ51" s="296"/>
      <c r="BK51" s="296"/>
      <c r="BL51" s="296"/>
      <c r="BM51" s="297"/>
      <c r="BN51" s="62" t="s">
        <v>207</v>
      </c>
      <c r="BO51" s="63"/>
      <c r="BP51" s="63"/>
      <c r="BQ51" s="63"/>
      <c r="BR51" s="63"/>
      <c r="BS51" s="63"/>
      <c r="BT51" s="63"/>
      <c r="BU51" s="63"/>
      <c r="BV51" s="63"/>
      <c r="BW51" s="63"/>
      <c r="BX51" s="63"/>
      <c r="BY51" s="63"/>
      <c r="BZ51" s="63"/>
      <c r="CA51" s="63"/>
      <c r="CB51" s="63"/>
      <c r="CC51" s="64"/>
      <c r="CD51" s="59"/>
      <c r="CE51" s="60"/>
      <c r="CF51" s="60"/>
      <c r="CG51" s="60"/>
      <c r="CH51" s="60"/>
      <c r="CI51" s="60"/>
      <c r="CJ51" s="60"/>
      <c r="CK51" s="60"/>
      <c r="CL51" s="60"/>
      <c r="CM51" s="60"/>
      <c r="CN51" s="61"/>
      <c r="CO51" s="258"/>
      <c r="CP51" s="258"/>
      <c r="CQ51" s="258"/>
      <c r="CR51" s="258"/>
      <c r="CS51" s="258"/>
      <c r="CT51" s="258"/>
      <c r="CU51" s="258"/>
      <c r="CV51" s="258"/>
      <c r="CW51" s="258"/>
      <c r="CX51" s="258"/>
      <c r="CY51" s="258"/>
      <c r="CZ51" s="258"/>
      <c r="DA51" s="258"/>
      <c r="DB51" s="258"/>
      <c r="DC51" s="258"/>
      <c r="DD51" s="258"/>
      <c r="DE51" s="258"/>
      <c r="DF51" s="258"/>
      <c r="DG51" s="258"/>
      <c r="DH51" s="258"/>
      <c r="DI51" s="258"/>
      <c r="DJ51" s="258"/>
      <c r="DK51" s="258"/>
      <c r="DL51" s="258"/>
      <c r="DM51" s="258"/>
      <c r="DN51" s="259"/>
      <c r="DO51" s="74"/>
      <c r="DP51" s="75"/>
      <c r="DQ51" s="75"/>
      <c r="DR51" s="75"/>
      <c r="DS51" s="76"/>
      <c r="DU51" s="4"/>
      <c r="DV51" s="4"/>
      <c r="DW51" s="4"/>
      <c r="DX51" s="4"/>
      <c r="DY51" s="4"/>
      <c r="DZ51" s="4"/>
    </row>
    <row r="52" spans="2:130" ht="12.75" customHeight="1">
      <c r="B52" s="331"/>
      <c r="C52" s="332"/>
      <c r="D52" s="332"/>
      <c r="E52" s="332"/>
      <c r="F52" s="332"/>
      <c r="G52" s="332"/>
      <c r="H52" s="332"/>
      <c r="I52" s="332"/>
      <c r="J52" s="332"/>
      <c r="K52" s="332"/>
      <c r="L52" s="332"/>
      <c r="M52" s="332"/>
      <c r="N52" s="332"/>
      <c r="O52" s="332"/>
      <c r="P52" s="333"/>
      <c r="Q52" s="337"/>
      <c r="R52" s="338"/>
      <c r="S52" s="338"/>
      <c r="T52" s="338"/>
      <c r="U52" s="338"/>
      <c r="V52" s="338"/>
      <c r="W52" s="338"/>
      <c r="X52" s="338"/>
      <c r="Y52" s="338"/>
      <c r="Z52" s="338"/>
      <c r="AA52" s="338"/>
      <c r="AB52" s="338"/>
      <c r="AC52" s="338"/>
      <c r="AD52" s="338"/>
      <c r="AE52" s="338"/>
      <c r="AF52" s="338"/>
      <c r="AG52" s="338"/>
      <c r="AH52" s="338"/>
      <c r="AI52" s="338"/>
      <c r="AJ52" s="338"/>
      <c r="AK52" s="338"/>
      <c r="AL52" s="338"/>
      <c r="AM52" s="338"/>
      <c r="AN52" s="338"/>
      <c r="AO52" s="338"/>
      <c r="AP52" s="338"/>
      <c r="AQ52" s="338"/>
      <c r="AR52" s="338"/>
      <c r="AS52" s="338"/>
      <c r="AT52" s="338"/>
      <c r="AU52" s="338"/>
      <c r="AV52" s="338"/>
      <c r="AW52" s="338"/>
      <c r="AX52" s="338"/>
      <c r="AY52" s="338"/>
      <c r="AZ52" s="338"/>
      <c r="BA52" s="338"/>
      <c r="BB52" s="338"/>
      <c r="BC52" s="338"/>
      <c r="BD52" s="338"/>
      <c r="BE52" s="339"/>
      <c r="BF52" s="86"/>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8"/>
      <c r="CO52" s="181" t="s">
        <v>20</v>
      </c>
      <c r="CP52" s="181"/>
      <c r="CQ52" s="181"/>
      <c r="CR52" s="181"/>
      <c r="CS52" s="181"/>
      <c r="CT52" s="181"/>
      <c r="CU52" s="181"/>
      <c r="CV52" s="241" t="s">
        <v>72</v>
      </c>
      <c r="CW52" s="241"/>
      <c r="CX52" s="241"/>
      <c r="CY52" s="241"/>
      <c r="CZ52" s="241"/>
      <c r="DA52" s="241"/>
      <c r="DB52" s="181" t="s">
        <v>21</v>
      </c>
      <c r="DC52" s="181"/>
      <c r="DD52" s="181"/>
      <c r="DE52" s="181"/>
      <c r="DF52" s="181"/>
      <c r="DG52" s="181"/>
      <c r="DH52" s="181"/>
      <c r="DI52" s="181"/>
      <c r="DJ52" s="181"/>
      <c r="DK52" s="181"/>
      <c r="DL52" s="241" t="s">
        <v>231</v>
      </c>
      <c r="DM52" s="241"/>
      <c r="DN52" s="241"/>
      <c r="DO52" s="241"/>
      <c r="DP52" s="241"/>
      <c r="DQ52" s="241"/>
      <c r="DR52" s="241"/>
      <c r="DS52" s="243"/>
      <c r="DT52" s="17"/>
      <c r="DU52" s="5"/>
      <c r="DV52" s="5"/>
      <c r="DW52" s="5"/>
      <c r="DX52" s="5"/>
      <c r="DY52" s="5"/>
      <c r="DZ52" s="5"/>
    </row>
    <row r="53" spans="2:130" ht="12.75" customHeight="1">
      <c r="B53" s="331"/>
      <c r="C53" s="332"/>
      <c r="D53" s="332"/>
      <c r="E53" s="332"/>
      <c r="F53" s="332"/>
      <c r="G53" s="332"/>
      <c r="H53" s="332"/>
      <c r="I53" s="332"/>
      <c r="J53" s="332"/>
      <c r="K53" s="332"/>
      <c r="L53" s="332"/>
      <c r="M53" s="332"/>
      <c r="N53" s="332"/>
      <c r="O53" s="332"/>
      <c r="P53" s="333"/>
      <c r="Q53" s="337"/>
      <c r="R53" s="338"/>
      <c r="S53" s="338"/>
      <c r="T53" s="338"/>
      <c r="U53" s="338"/>
      <c r="V53" s="338"/>
      <c r="W53" s="338"/>
      <c r="X53" s="338"/>
      <c r="Y53" s="338"/>
      <c r="Z53" s="338"/>
      <c r="AA53" s="338"/>
      <c r="AB53" s="338"/>
      <c r="AC53" s="338"/>
      <c r="AD53" s="338"/>
      <c r="AE53" s="338"/>
      <c r="AF53" s="338"/>
      <c r="AG53" s="338"/>
      <c r="AH53" s="338"/>
      <c r="AI53" s="338"/>
      <c r="AJ53" s="338"/>
      <c r="AK53" s="338"/>
      <c r="AL53" s="338"/>
      <c r="AM53" s="338"/>
      <c r="AN53" s="338"/>
      <c r="AO53" s="338"/>
      <c r="AP53" s="338"/>
      <c r="AQ53" s="338"/>
      <c r="AR53" s="338"/>
      <c r="AS53" s="338"/>
      <c r="AT53" s="338"/>
      <c r="AU53" s="338"/>
      <c r="AV53" s="338"/>
      <c r="AW53" s="338"/>
      <c r="AX53" s="338"/>
      <c r="AY53" s="338"/>
      <c r="AZ53" s="338"/>
      <c r="BA53" s="338"/>
      <c r="BB53" s="338"/>
      <c r="BC53" s="338"/>
      <c r="BD53" s="338"/>
      <c r="BE53" s="339"/>
      <c r="BF53" s="299" t="s">
        <v>289</v>
      </c>
      <c r="BG53" s="300"/>
      <c r="BH53" s="300"/>
      <c r="BI53" s="300"/>
      <c r="BJ53" s="300"/>
      <c r="BK53" s="300"/>
      <c r="BL53" s="300"/>
      <c r="BM53" s="300"/>
      <c r="BN53" s="300"/>
      <c r="BO53" s="300"/>
      <c r="BP53" s="300"/>
      <c r="BQ53" s="300"/>
      <c r="BR53" s="300"/>
      <c r="BS53" s="301"/>
      <c r="BT53" s="305" t="s">
        <v>290</v>
      </c>
      <c r="BU53" s="306"/>
      <c r="BV53" s="306"/>
      <c r="BW53" s="306"/>
      <c r="BX53" s="306"/>
      <c r="BY53" s="306"/>
      <c r="BZ53" s="306"/>
      <c r="CA53" s="306"/>
      <c r="CB53" s="306"/>
      <c r="CC53" s="306"/>
      <c r="CD53" s="306"/>
      <c r="CE53" s="306"/>
      <c r="CF53" s="306"/>
      <c r="CG53" s="307"/>
      <c r="CH53" s="305" t="s">
        <v>34</v>
      </c>
      <c r="CI53" s="306"/>
      <c r="CJ53" s="306"/>
      <c r="CK53" s="306"/>
      <c r="CL53" s="306"/>
      <c r="CM53" s="306"/>
      <c r="CN53" s="307"/>
      <c r="CO53" s="182"/>
      <c r="CP53" s="182"/>
      <c r="CQ53" s="182"/>
      <c r="CR53" s="182"/>
      <c r="CS53" s="182"/>
      <c r="CT53" s="182"/>
      <c r="CU53" s="182"/>
      <c r="CV53" s="242"/>
      <c r="CW53" s="242"/>
      <c r="CX53" s="242"/>
      <c r="CY53" s="242"/>
      <c r="CZ53" s="242"/>
      <c r="DA53" s="242"/>
      <c r="DB53" s="182"/>
      <c r="DC53" s="182"/>
      <c r="DD53" s="182"/>
      <c r="DE53" s="182"/>
      <c r="DF53" s="182"/>
      <c r="DG53" s="182"/>
      <c r="DH53" s="182"/>
      <c r="DI53" s="182"/>
      <c r="DJ53" s="182"/>
      <c r="DK53" s="182"/>
      <c r="DL53" s="242"/>
      <c r="DM53" s="242"/>
      <c r="DN53" s="242"/>
      <c r="DO53" s="242"/>
      <c r="DP53" s="242"/>
      <c r="DQ53" s="242"/>
      <c r="DR53" s="242"/>
      <c r="DS53" s="244"/>
      <c r="DT53" s="17"/>
      <c r="DU53" s="5"/>
      <c r="DV53" s="5"/>
      <c r="DW53" s="5"/>
      <c r="DX53" s="5"/>
      <c r="DY53" s="5"/>
      <c r="DZ53" s="5"/>
    </row>
    <row r="54" spans="2:130" ht="12.75" customHeight="1">
      <c r="B54" s="331"/>
      <c r="C54" s="332"/>
      <c r="D54" s="332"/>
      <c r="E54" s="332"/>
      <c r="F54" s="332"/>
      <c r="G54" s="332"/>
      <c r="H54" s="332"/>
      <c r="I54" s="332"/>
      <c r="J54" s="332"/>
      <c r="K54" s="332"/>
      <c r="L54" s="332"/>
      <c r="M54" s="332"/>
      <c r="N54" s="332"/>
      <c r="O54" s="332"/>
      <c r="P54" s="333"/>
      <c r="Q54" s="340"/>
      <c r="R54" s="341"/>
      <c r="S54" s="341"/>
      <c r="T54" s="341"/>
      <c r="U54" s="341"/>
      <c r="V54" s="341"/>
      <c r="W54" s="341"/>
      <c r="X54" s="341"/>
      <c r="Y54" s="341"/>
      <c r="Z54" s="341"/>
      <c r="AA54" s="341"/>
      <c r="AB54" s="341"/>
      <c r="AC54" s="341"/>
      <c r="AD54" s="341"/>
      <c r="AE54" s="341"/>
      <c r="AF54" s="341"/>
      <c r="AG54" s="341"/>
      <c r="AH54" s="341"/>
      <c r="AI54" s="341"/>
      <c r="AJ54" s="341"/>
      <c r="AK54" s="341"/>
      <c r="AL54" s="341"/>
      <c r="AM54" s="341"/>
      <c r="AN54" s="341"/>
      <c r="AO54" s="341"/>
      <c r="AP54" s="341"/>
      <c r="AQ54" s="341"/>
      <c r="AR54" s="341"/>
      <c r="AS54" s="341"/>
      <c r="AT54" s="341"/>
      <c r="AU54" s="341"/>
      <c r="AV54" s="341"/>
      <c r="AW54" s="341"/>
      <c r="AX54" s="341"/>
      <c r="AY54" s="341"/>
      <c r="AZ54" s="341"/>
      <c r="BA54" s="341"/>
      <c r="BB54" s="341"/>
      <c r="BC54" s="341"/>
      <c r="BD54" s="341"/>
      <c r="BE54" s="342"/>
      <c r="BF54" s="302"/>
      <c r="BG54" s="303"/>
      <c r="BH54" s="303"/>
      <c r="BI54" s="303"/>
      <c r="BJ54" s="303"/>
      <c r="BK54" s="303"/>
      <c r="BL54" s="303"/>
      <c r="BM54" s="303"/>
      <c r="BN54" s="303"/>
      <c r="BO54" s="303"/>
      <c r="BP54" s="303"/>
      <c r="BQ54" s="303"/>
      <c r="BR54" s="303"/>
      <c r="BS54" s="304"/>
      <c r="BT54" s="12"/>
      <c r="BU54" s="93" t="s">
        <v>35</v>
      </c>
      <c r="BV54" s="93"/>
      <c r="BW54" s="93"/>
      <c r="BX54" s="93"/>
      <c r="BY54" s="93"/>
      <c r="BZ54" s="93" t="s">
        <v>36</v>
      </c>
      <c r="CA54" s="93"/>
      <c r="CB54" s="93"/>
      <c r="CC54" s="93"/>
      <c r="CD54" s="93"/>
      <c r="CE54" s="93"/>
      <c r="CF54" s="93"/>
      <c r="CG54" s="94"/>
      <c r="CH54" s="230"/>
      <c r="CI54" s="226"/>
      <c r="CJ54" s="226"/>
      <c r="CK54" s="226"/>
      <c r="CL54" s="226"/>
      <c r="CM54" s="226"/>
      <c r="CN54" s="227"/>
      <c r="CO54" s="158" t="s">
        <v>213</v>
      </c>
      <c r="CP54" s="158"/>
      <c r="CQ54" s="158"/>
      <c r="CR54" s="158"/>
      <c r="CS54" s="158"/>
      <c r="CT54" s="158"/>
      <c r="CU54" s="158"/>
      <c r="CV54" s="158"/>
      <c r="CW54" s="158"/>
      <c r="CX54" s="158"/>
      <c r="CY54" s="158"/>
      <c r="CZ54" s="158"/>
      <c r="DA54" s="158"/>
      <c r="DB54" s="158"/>
      <c r="DC54" s="158"/>
      <c r="DD54" s="158"/>
      <c r="DE54" s="158"/>
      <c r="DF54" s="158"/>
      <c r="DG54" s="158"/>
      <c r="DH54" s="158"/>
      <c r="DI54" s="158"/>
      <c r="DJ54" s="158"/>
      <c r="DK54" s="158"/>
      <c r="DL54" s="158"/>
      <c r="DM54" s="158"/>
      <c r="DN54" s="158"/>
      <c r="DO54" s="158"/>
      <c r="DP54" s="158"/>
      <c r="DQ54" s="158"/>
      <c r="DR54" s="158"/>
      <c r="DS54" s="159"/>
      <c r="DT54" s="18"/>
      <c r="DU54" s="6"/>
      <c r="DV54" s="6"/>
      <c r="DW54" s="6"/>
      <c r="DX54" s="6"/>
      <c r="DY54" s="6"/>
      <c r="DZ54" s="6"/>
    </row>
    <row r="55" spans="2:130" ht="14.25" customHeight="1">
      <c r="B55" s="331"/>
      <c r="C55" s="332"/>
      <c r="D55" s="332"/>
      <c r="E55" s="332"/>
      <c r="F55" s="332"/>
      <c r="G55" s="332"/>
      <c r="H55" s="332"/>
      <c r="I55" s="332"/>
      <c r="J55" s="332"/>
      <c r="K55" s="332"/>
      <c r="L55" s="332"/>
      <c r="M55" s="332"/>
      <c r="N55" s="332"/>
      <c r="O55" s="332"/>
      <c r="P55" s="333"/>
      <c r="Q55" s="343" t="s">
        <v>45</v>
      </c>
      <c r="R55" s="344"/>
      <c r="S55" s="344"/>
      <c r="T55" s="344"/>
      <c r="U55" s="344"/>
      <c r="V55" s="344"/>
      <c r="W55" s="344"/>
      <c r="X55" s="344"/>
      <c r="Y55" s="344"/>
      <c r="Z55" s="344"/>
      <c r="AA55" s="344"/>
      <c r="AB55" s="344"/>
      <c r="AC55" s="344"/>
      <c r="AD55" s="344"/>
      <c r="AE55" s="344"/>
      <c r="AF55" s="344"/>
      <c r="AG55" s="344"/>
      <c r="AH55" s="344"/>
      <c r="AI55" s="344"/>
      <c r="AJ55" s="344"/>
      <c r="AK55" s="344"/>
      <c r="AL55" s="344"/>
      <c r="AM55" s="344"/>
      <c r="AN55" s="344"/>
      <c r="AO55" s="344"/>
      <c r="AP55" s="344"/>
      <c r="AQ55" s="344"/>
      <c r="AR55" s="344"/>
      <c r="AS55" s="344"/>
      <c r="AT55" s="344"/>
      <c r="AU55" s="344"/>
      <c r="AV55" s="344"/>
      <c r="AW55" s="344"/>
      <c r="AX55" s="344"/>
      <c r="AY55" s="344"/>
      <c r="AZ55" s="344"/>
      <c r="BA55" s="344"/>
      <c r="BB55" s="344"/>
      <c r="BC55" s="344"/>
      <c r="BD55" s="344"/>
      <c r="BE55" s="345"/>
      <c r="BF55" s="308" t="s">
        <v>37</v>
      </c>
      <c r="BG55" s="309"/>
      <c r="BH55" s="309"/>
      <c r="BI55" s="309"/>
      <c r="BJ55" s="309"/>
      <c r="BK55" s="309"/>
      <c r="BL55" s="310"/>
      <c r="BM55" s="281" t="s">
        <v>38</v>
      </c>
      <c r="BN55" s="282"/>
      <c r="BO55" s="282"/>
      <c r="BP55" s="282"/>
      <c r="BQ55" s="282"/>
      <c r="BR55" s="282"/>
      <c r="BS55" s="283"/>
      <c r="BT55" s="275" t="s">
        <v>39</v>
      </c>
      <c r="BU55" s="276"/>
      <c r="BV55" s="276"/>
      <c r="BW55" s="276"/>
      <c r="BX55" s="276"/>
      <c r="BY55" s="276"/>
      <c r="BZ55" s="276"/>
      <c r="CA55" s="277"/>
      <c r="CB55" s="275" t="s">
        <v>55</v>
      </c>
      <c r="CC55" s="276"/>
      <c r="CD55" s="276"/>
      <c r="CE55" s="276"/>
      <c r="CF55" s="276"/>
      <c r="CG55" s="277"/>
      <c r="CH55" s="281" t="s">
        <v>40</v>
      </c>
      <c r="CI55" s="282"/>
      <c r="CJ55" s="282"/>
      <c r="CK55" s="282"/>
      <c r="CL55" s="282"/>
      <c r="CM55" s="282"/>
      <c r="CN55" s="283"/>
      <c r="CO55" s="92" t="s">
        <v>214</v>
      </c>
      <c r="CP55" s="92"/>
      <c r="CQ55" s="92"/>
      <c r="CR55" s="92"/>
      <c r="CS55" s="92"/>
      <c r="CT55" s="92"/>
      <c r="CU55" s="92"/>
      <c r="CV55" s="92"/>
      <c r="CW55" s="92"/>
      <c r="CX55" s="92"/>
      <c r="CY55" s="92"/>
      <c r="CZ55" s="92"/>
      <c r="DA55" s="92"/>
      <c r="DB55" s="92"/>
      <c r="DC55" s="92"/>
      <c r="DD55" s="92"/>
      <c r="DE55" s="92"/>
      <c r="DF55" s="92"/>
      <c r="DG55" s="92"/>
      <c r="DH55" s="92"/>
      <c r="DI55" s="92"/>
      <c r="DJ55" s="92"/>
      <c r="DK55" s="272" t="s">
        <v>22</v>
      </c>
      <c r="DL55" s="273"/>
      <c r="DM55" s="273"/>
      <c r="DN55" s="273"/>
      <c r="DO55" s="273"/>
      <c r="DP55" s="273"/>
      <c r="DQ55" s="273"/>
      <c r="DR55" s="273"/>
      <c r="DS55" s="274"/>
      <c r="DT55" s="19"/>
      <c r="DU55" s="7"/>
      <c r="DV55" s="7"/>
      <c r="DW55" s="7"/>
      <c r="DX55" s="7"/>
      <c r="DY55" s="7"/>
      <c r="DZ55" s="7"/>
    </row>
    <row r="56" spans="2:130" ht="13.5" customHeight="1">
      <c r="B56" s="331"/>
      <c r="C56" s="332"/>
      <c r="D56" s="332"/>
      <c r="E56" s="332"/>
      <c r="F56" s="332"/>
      <c r="G56" s="332"/>
      <c r="H56" s="332"/>
      <c r="I56" s="332"/>
      <c r="J56" s="332"/>
      <c r="K56" s="332"/>
      <c r="L56" s="332"/>
      <c r="M56" s="332"/>
      <c r="N56" s="332"/>
      <c r="O56" s="332"/>
      <c r="P56" s="333"/>
      <c r="Q56" s="347" t="s">
        <v>69</v>
      </c>
      <c r="R56" s="348"/>
      <c r="S56" s="348"/>
      <c r="T56" s="348"/>
      <c r="U56" s="348"/>
      <c r="V56" s="348"/>
      <c r="W56" s="348"/>
      <c r="X56" s="348"/>
      <c r="Y56" s="348"/>
      <c r="Z56" s="348"/>
      <c r="AA56" s="348"/>
      <c r="AB56" s="348"/>
      <c r="AC56" s="348"/>
      <c r="AD56" s="348"/>
      <c r="AE56" s="348"/>
      <c r="AF56" s="348"/>
      <c r="AG56" s="348"/>
      <c r="AH56" s="348"/>
      <c r="AI56" s="348"/>
      <c r="AJ56" s="348"/>
      <c r="AK56" s="348"/>
      <c r="AL56" s="348"/>
      <c r="AM56" s="349"/>
      <c r="AN56" s="47" t="s">
        <v>240</v>
      </c>
      <c r="AO56" s="48"/>
      <c r="AP56" s="48"/>
      <c r="AQ56" s="48"/>
      <c r="AR56" s="48"/>
      <c r="AS56" s="48"/>
      <c r="AT56" s="48"/>
      <c r="AU56" s="48"/>
      <c r="AV56" s="48"/>
      <c r="AW56" s="48"/>
      <c r="AX56" s="48"/>
      <c r="AY56" s="48"/>
      <c r="AZ56" s="48"/>
      <c r="BA56" s="48"/>
      <c r="BB56" s="48"/>
      <c r="BC56" s="48"/>
      <c r="BD56" s="48"/>
      <c r="BE56" s="49"/>
      <c r="BF56" s="278" t="s">
        <v>208</v>
      </c>
      <c r="BG56" s="279"/>
      <c r="BH56" s="279"/>
      <c r="BI56" s="279"/>
      <c r="BJ56" s="279"/>
      <c r="BK56" s="279"/>
      <c r="BL56" s="280"/>
      <c r="BM56" s="89" t="s">
        <v>209</v>
      </c>
      <c r="BN56" s="90"/>
      <c r="BO56" s="90"/>
      <c r="BP56" s="90"/>
      <c r="BQ56" s="90"/>
      <c r="BR56" s="90"/>
      <c r="BS56" s="91"/>
      <c r="BT56" s="89" t="s">
        <v>210</v>
      </c>
      <c r="BU56" s="90"/>
      <c r="BV56" s="90"/>
      <c r="BW56" s="90"/>
      <c r="BX56" s="90"/>
      <c r="BY56" s="90"/>
      <c r="BZ56" s="90"/>
      <c r="CA56" s="91"/>
      <c r="CB56" s="89" t="s">
        <v>211</v>
      </c>
      <c r="CC56" s="90"/>
      <c r="CD56" s="90"/>
      <c r="CE56" s="90"/>
      <c r="CF56" s="90"/>
      <c r="CG56" s="91"/>
      <c r="CH56" s="89"/>
      <c r="CI56" s="90"/>
      <c r="CJ56" s="90"/>
      <c r="CK56" s="90"/>
      <c r="CL56" s="90"/>
      <c r="CM56" s="90"/>
      <c r="CN56" s="91"/>
      <c r="CO56" s="235" t="s">
        <v>46</v>
      </c>
      <c r="CP56" s="235"/>
      <c r="CQ56" s="235"/>
      <c r="CR56" s="235"/>
      <c r="CS56" s="235"/>
      <c r="CT56" s="235"/>
      <c r="CU56" s="236"/>
      <c r="CV56" s="269" t="s">
        <v>23</v>
      </c>
      <c r="CW56" s="235"/>
      <c r="CX56" s="235"/>
      <c r="CY56" s="236"/>
      <c r="CZ56" s="77" t="s">
        <v>24</v>
      </c>
      <c r="DA56" s="78"/>
      <c r="DB56" s="78"/>
      <c r="DC56" s="78"/>
      <c r="DD56" s="78"/>
      <c r="DE56" s="78"/>
      <c r="DF56" s="78"/>
      <c r="DG56" s="78"/>
      <c r="DH56" s="78"/>
      <c r="DI56" s="78"/>
      <c r="DJ56" s="77" t="s">
        <v>25</v>
      </c>
      <c r="DK56" s="78"/>
      <c r="DL56" s="78"/>
      <c r="DM56" s="78"/>
      <c r="DN56" s="155"/>
      <c r="DO56" s="77" t="s">
        <v>26</v>
      </c>
      <c r="DP56" s="78"/>
      <c r="DQ56" s="78"/>
      <c r="DR56" s="78"/>
      <c r="DS56" s="79"/>
      <c r="DT56" s="20"/>
      <c r="DV56" s="8"/>
      <c r="DW56" s="8"/>
      <c r="DX56" s="8"/>
      <c r="DY56" s="8"/>
      <c r="DZ56" s="8"/>
    </row>
    <row r="57" spans="2:130" ht="12.75" customHeight="1">
      <c r="B57" s="331"/>
      <c r="C57" s="332"/>
      <c r="D57" s="332"/>
      <c r="E57" s="332"/>
      <c r="F57" s="332"/>
      <c r="G57" s="332"/>
      <c r="H57" s="332"/>
      <c r="I57" s="332"/>
      <c r="J57" s="332"/>
      <c r="K57" s="332"/>
      <c r="L57" s="332"/>
      <c r="M57" s="332"/>
      <c r="N57" s="332"/>
      <c r="O57" s="332"/>
      <c r="P57" s="333"/>
      <c r="Q57" s="47" t="s">
        <v>234</v>
      </c>
      <c r="R57" s="48"/>
      <c r="S57" s="48"/>
      <c r="T57" s="48"/>
      <c r="U57" s="48"/>
      <c r="V57" s="48"/>
      <c r="W57" s="48"/>
      <c r="X57" s="48"/>
      <c r="Y57" s="48"/>
      <c r="Z57" s="48"/>
      <c r="AA57" s="48"/>
      <c r="AB57" s="48"/>
      <c r="AC57" s="48"/>
      <c r="AD57" s="48"/>
      <c r="AE57" s="48"/>
      <c r="AF57" s="48"/>
      <c r="AG57" s="48"/>
      <c r="AH57" s="48"/>
      <c r="AI57" s="48"/>
      <c r="AJ57" s="48"/>
      <c r="AK57" s="48"/>
      <c r="AL57" s="48"/>
      <c r="AM57" s="49"/>
      <c r="AN57" s="47" t="s">
        <v>241</v>
      </c>
      <c r="AO57" s="48"/>
      <c r="AP57" s="48"/>
      <c r="AQ57" s="48"/>
      <c r="AR57" s="48"/>
      <c r="AS57" s="48"/>
      <c r="AT57" s="48"/>
      <c r="AU57" s="48"/>
      <c r="AV57" s="48"/>
      <c r="AW57" s="48"/>
      <c r="AX57" s="48"/>
      <c r="AY57" s="48"/>
      <c r="AZ57" s="48"/>
      <c r="BA57" s="48"/>
      <c r="BB57" s="48"/>
      <c r="BC57" s="48"/>
      <c r="BD57" s="48"/>
      <c r="BE57" s="49"/>
      <c r="BF57" s="298">
        <v>45876</v>
      </c>
      <c r="BG57" s="279"/>
      <c r="BH57" s="279"/>
      <c r="BI57" s="279"/>
      <c r="BJ57" s="279"/>
      <c r="BK57" s="279"/>
      <c r="BL57" s="280"/>
      <c r="BM57" s="346">
        <f>DC_ENGG_DATE</f>
        <v>45876</v>
      </c>
      <c r="BN57" s="90"/>
      <c r="BO57" s="90"/>
      <c r="BP57" s="90"/>
      <c r="BQ57" s="90"/>
      <c r="BR57" s="90"/>
      <c r="BS57" s="91"/>
      <c r="BT57" s="225">
        <f>DC_ENGG_DATE</f>
        <v>45876</v>
      </c>
      <c r="BU57" s="226"/>
      <c r="BV57" s="226"/>
      <c r="BW57" s="226"/>
      <c r="BX57" s="226"/>
      <c r="BY57" s="226"/>
      <c r="BZ57" s="226"/>
      <c r="CA57" s="227"/>
      <c r="CB57" s="225">
        <f>DC_ENGG_DATE</f>
        <v>45876</v>
      </c>
      <c r="CC57" s="226"/>
      <c r="CD57" s="226"/>
      <c r="CE57" s="226"/>
      <c r="CF57" s="226"/>
      <c r="CG57" s="227"/>
      <c r="CH57" s="230"/>
      <c r="CI57" s="226"/>
      <c r="CJ57" s="226"/>
      <c r="CK57" s="226"/>
      <c r="CL57" s="226"/>
      <c r="CM57" s="226"/>
      <c r="CN57" s="227"/>
      <c r="CO57" s="237"/>
      <c r="CP57" s="237"/>
      <c r="CQ57" s="237"/>
      <c r="CR57" s="237"/>
      <c r="CS57" s="237"/>
      <c r="CT57" s="237"/>
      <c r="CU57" s="238"/>
      <c r="CV57" s="270"/>
      <c r="CW57" s="237"/>
      <c r="CX57" s="237"/>
      <c r="CY57" s="238"/>
      <c r="CZ57" s="80"/>
      <c r="DA57" s="81"/>
      <c r="DB57" s="81"/>
      <c r="DC57" s="81"/>
      <c r="DD57" s="81"/>
      <c r="DE57" s="81"/>
      <c r="DF57" s="81"/>
      <c r="DG57" s="81"/>
      <c r="DH57" s="81"/>
      <c r="DI57" s="81"/>
      <c r="DJ57" s="80"/>
      <c r="DK57" s="81"/>
      <c r="DL57" s="81"/>
      <c r="DM57" s="81"/>
      <c r="DN57" s="156"/>
      <c r="DO57" s="80"/>
      <c r="DP57" s="81"/>
      <c r="DQ57" s="81"/>
      <c r="DR57" s="81"/>
      <c r="DS57" s="82"/>
      <c r="DT57" s="20"/>
      <c r="DV57" s="8"/>
      <c r="DW57" s="8"/>
      <c r="DX57" s="8"/>
      <c r="DY57" s="8"/>
      <c r="DZ57" s="8"/>
    </row>
    <row r="58" spans="2:130" ht="12.75" customHeight="1">
      <c r="B58" s="331"/>
      <c r="C58" s="332"/>
      <c r="D58" s="332"/>
      <c r="E58" s="332"/>
      <c r="F58" s="332"/>
      <c r="G58" s="332"/>
      <c r="H58" s="332"/>
      <c r="I58" s="332"/>
      <c r="J58" s="332"/>
      <c r="K58" s="332"/>
      <c r="L58" s="332"/>
      <c r="M58" s="332"/>
      <c r="N58" s="332"/>
      <c r="O58" s="332"/>
      <c r="P58" s="333"/>
      <c r="Q58" s="47" t="s">
        <v>66</v>
      </c>
      <c r="R58" s="48"/>
      <c r="S58" s="48"/>
      <c r="T58" s="48"/>
      <c r="U58" s="48"/>
      <c r="V58" s="48"/>
      <c r="W58" s="48"/>
      <c r="X58" s="48"/>
      <c r="Y58" s="48"/>
      <c r="Z58" s="48"/>
      <c r="AA58" s="48"/>
      <c r="AB58" s="48"/>
      <c r="AC58" s="48"/>
      <c r="AD58" s="48"/>
      <c r="AE58" s="48"/>
      <c r="AF58" s="48"/>
      <c r="AG58" s="48"/>
      <c r="AH58" s="48"/>
      <c r="AI58" s="48"/>
      <c r="AJ58" s="48"/>
      <c r="AK58" s="48"/>
      <c r="AL58" s="48"/>
      <c r="AM58" s="49"/>
      <c r="AN58" s="47" t="s">
        <v>262</v>
      </c>
      <c r="AO58" s="48"/>
      <c r="AP58" s="48"/>
      <c r="AQ58" s="48"/>
      <c r="AR58" s="48"/>
      <c r="AS58" s="48"/>
      <c r="AT58" s="48"/>
      <c r="AU58" s="48"/>
      <c r="AV58" s="48"/>
      <c r="AW58" s="48"/>
      <c r="AX58" s="48"/>
      <c r="AY58" s="48"/>
      <c r="AZ58" s="48"/>
      <c r="BA58" s="48"/>
      <c r="BB58" s="48"/>
      <c r="BC58" s="48"/>
      <c r="BD58" s="48"/>
      <c r="BE58" s="49"/>
      <c r="BF58" s="228" t="s">
        <v>26</v>
      </c>
      <c r="BG58" s="229"/>
      <c r="BH58" s="229"/>
      <c r="BI58" s="229"/>
      <c r="BJ58" s="229"/>
      <c r="BK58" s="292" t="s">
        <v>41</v>
      </c>
      <c r="BL58" s="293"/>
      <c r="BM58" s="293"/>
      <c r="BN58" s="293"/>
      <c r="BO58" s="293"/>
      <c r="BP58" s="294"/>
      <c r="BQ58" s="292" t="s">
        <v>57</v>
      </c>
      <c r="BR58" s="293"/>
      <c r="BS58" s="293"/>
      <c r="BT58" s="293"/>
      <c r="BU58" s="293"/>
      <c r="BV58" s="293"/>
      <c r="BW58" s="293"/>
      <c r="BX58" s="293"/>
      <c r="BY58" s="293"/>
      <c r="BZ58" s="293"/>
      <c r="CA58" s="293"/>
      <c r="CB58" s="293"/>
      <c r="CC58" s="293"/>
      <c r="CD58" s="293"/>
      <c r="CE58" s="293"/>
      <c r="CF58" s="293"/>
      <c r="CG58" s="293"/>
      <c r="CH58" s="293"/>
      <c r="CI58" s="293"/>
      <c r="CJ58" s="293"/>
      <c r="CK58" s="293"/>
      <c r="CL58" s="293"/>
      <c r="CM58" s="293"/>
      <c r="CN58" s="294"/>
      <c r="CO58" s="239"/>
      <c r="CP58" s="239"/>
      <c r="CQ58" s="239"/>
      <c r="CR58" s="239"/>
      <c r="CS58" s="239"/>
      <c r="CT58" s="239"/>
      <c r="CU58" s="240"/>
      <c r="CV58" s="271"/>
      <c r="CW58" s="239"/>
      <c r="CX58" s="239"/>
      <c r="CY58" s="240"/>
      <c r="CZ58" s="83"/>
      <c r="DA58" s="84"/>
      <c r="DB58" s="84"/>
      <c r="DC58" s="84"/>
      <c r="DD58" s="84"/>
      <c r="DE58" s="84"/>
      <c r="DF58" s="84"/>
      <c r="DG58" s="84"/>
      <c r="DH58" s="84"/>
      <c r="DI58" s="84"/>
      <c r="DJ58" s="83"/>
      <c r="DK58" s="84"/>
      <c r="DL58" s="84"/>
      <c r="DM58" s="84"/>
      <c r="DN58" s="157"/>
      <c r="DO58" s="83"/>
      <c r="DP58" s="84"/>
      <c r="DQ58" s="84"/>
      <c r="DR58" s="84"/>
      <c r="DS58" s="85"/>
      <c r="DT58" s="20"/>
      <c r="DU58" s="8"/>
      <c r="DV58" s="8"/>
      <c r="DW58" s="8"/>
      <c r="DX58" s="8"/>
      <c r="DY58" s="8"/>
      <c r="DZ58" s="8"/>
    </row>
    <row r="59" spans="2:130" ht="12.75" customHeight="1">
      <c r="B59" s="331"/>
      <c r="C59" s="332"/>
      <c r="D59" s="332"/>
      <c r="E59" s="332"/>
      <c r="F59" s="332"/>
      <c r="G59" s="332"/>
      <c r="H59" s="332"/>
      <c r="I59" s="332"/>
      <c r="J59" s="332"/>
      <c r="K59" s="332"/>
      <c r="L59" s="332"/>
      <c r="M59" s="332"/>
      <c r="N59" s="332"/>
      <c r="O59" s="332"/>
      <c r="P59" s="333"/>
      <c r="Q59" s="47" t="s">
        <v>70</v>
      </c>
      <c r="R59" s="48"/>
      <c r="S59" s="48"/>
      <c r="T59" s="48"/>
      <c r="U59" s="48"/>
      <c r="V59" s="48"/>
      <c r="W59" s="48"/>
      <c r="X59" s="48"/>
      <c r="Y59" s="48"/>
      <c r="Z59" s="48"/>
      <c r="AA59" s="48"/>
      <c r="AB59" s="48"/>
      <c r="AC59" s="48"/>
      <c r="AD59" s="48"/>
      <c r="AE59" s="48"/>
      <c r="AF59" s="48"/>
      <c r="AG59" s="48"/>
      <c r="AH59" s="48"/>
      <c r="AI59" s="48"/>
      <c r="AJ59" s="48"/>
      <c r="AK59" s="48"/>
      <c r="AL59" s="48"/>
      <c r="AM59" s="49"/>
      <c r="AN59" s="47" t="s">
        <v>242</v>
      </c>
      <c r="AO59" s="48"/>
      <c r="AP59" s="48"/>
      <c r="AQ59" s="48"/>
      <c r="AR59" s="48"/>
      <c r="AS59" s="48"/>
      <c r="AT59" s="48"/>
      <c r="AU59" s="48"/>
      <c r="AV59" s="48"/>
      <c r="AW59" s="48"/>
      <c r="AX59" s="48"/>
      <c r="AY59" s="48"/>
      <c r="AZ59" s="48"/>
      <c r="BA59" s="48"/>
      <c r="BB59" s="48"/>
      <c r="BC59" s="48"/>
      <c r="BD59" s="48"/>
      <c r="BE59" s="49"/>
      <c r="BF59" s="314" t="str">
        <f>REV_NUMBER</f>
        <v>C</v>
      </c>
      <c r="BG59" s="315"/>
      <c r="BH59" s="315"/>
      <c r="BI59" s="315"/>
      <c r="BJ59" s="315"/>
      <c r="BK59" s="225">
        <f>DC_ENGG_DATE</f>
        <v>45876</v>
      </c>
      <c r="BL59" s="226"/>
      <c r="BM59" s="226"/>
      <c r="BN59" s="226"/>
      <c r="BO59" s="226"/>
      <c r="BP59" s="227"/>
      <c r="BQ59" s="316" t="s">
        <v>215</v>
      </c>
      <c r="BR59" s="317"/>
      <c r="BS59" s="317"/>
      <c r="BT59" s="317"/>
      <c r="BU59" s="317"/>
      <c r="BV59" s="317"/>
      <c r="BW59" s="317"/>
      <c r="BX59" s="317"/>
      <c r="BY59" s="317"/>
      <c r="BZ59" s="317"/>
      <c r="CA59" s="317"/>
      <c r="CB59" s="317"/>
      <c r="CC59" s="317"/>
      <c r="CD59" s="317"/>
      <c r="CE59" s="317"/>
      <c r="CF59" s="317"/>
      <c r="CG59" s="317"/>
      <c r="CH59" s="317"/>
      <c r="CI59" s="317"/>
      <c r="CJ59" s="317"/>
      <c r="CK59" s="317"/>
      <c r="CL59" s="317"/>
      <c r="CM59" s="317"/>
      <c r="CN59" s="318"/>
      <c r="CO59" s="245" t="s">
        <v>212</v>
      </c>
      <c r="CP59" s="246"/>
      <c r="CQ59" s="246"/>
      <c r="CR59" s="246"/>
      <c r="CS59" s="246"/>
      <c r="CT59" s="246"/>
      <c r="CU59" s="247"/>
      <c r="CV59" s="169" t="s">
        <v>29</v>
      </c>
      <c r="CW59" s="170"/>
      <c r="CX59" s="170"/>
      <c r="CY59" s="171"/>
      <c r="CZ59" s="245" t="s">
        <v>239</v>
      </c>
      <c r="DA59" s="246"/>
      <c r="DB59" s="246"/>
      <c r="DC59" s="246"/>
      <c r="DD59" s="246"/>
      <c r="DE59" s="246"/>
      <c r="DF59" s="246"/>
      <c r="DG59" s="246"/>
      <c r="DH59" s="246"/>
      <c r="DI59" s="247"/>
      <c r="DJ59" s="160">
        <v>1</v>
      </c>
      <c r="DK59" s="161"/>
      <c r="DL59" s="161"/>
      <c r="DM59" s="161"/>
      <c r="DN59" s="162"/>
      <c r="DO59" s="260" t="s">
        <v>295</v>
      </c>
      <c r="DP59" s="261"/>
      <c r="DQ59" s="261"/>
      <c r="DR59" s="261"/>
      <c r="DS59" s="262"/>
      <c r="DT59" s="20"/>
      <c r="DU59" s="8"/>
      <c r="DV59" s="8"/>
      <c r="DW59" s="8"/>
      <c r="DX59" s="8"/>
      <c r="DY59" s="8"/>
      <c r="DZ59" s="8"/>
    </row>
    <row r="60" spans="2:130" ht="12.75" customHeight="1">
      <c r="B60" s="331"/>
      <c r="C60" s="332"/>
      <c r="D60" s="332"/>
      <c r="E60" s="332"/>
      <c r="F60" s="332"/>
      <c r="G60" s="332"/>
      <c r="H60" s="332"/>
      <c r="I60" s="332"/>
      <c r="J60" s="332"/>
      <c r="K60" s="332"/>
      <c r="L60" s="332"/>
      <c r="M60" s="332"/>
      <c r="N60" s="332"/>
      <c r="O60" s="332"/>
      <c r="P60" s="333"/>
      <c r="Q60" s="47"/>
      <c r="R60" s="48"/>
      <c r="S60" s="48"/>
      <c r="T60" s="48"/>
      <c r="U60" s="48"/>
      <c r="V60" s="48"/>
      <c r="W60" s="48"/>
      <c r="X60" s="48"/>
      <c r="Y60" s="48"/>
      <c r="Z60" s="48"/>
      <c r="AA60" s="48"/>
      <c r="AB60" s="48"/>
      <c r="AC60" s="48"/>
      <c r="AD60" s="48"/>
      <c r="AE60" s="48"/>
      <c r="AF60" s="48"/>
      <c r="AG60" s="48"/>
      <c r="AH60" s="48"/>
      <c r="AI60" s="48"/>
      <c r="AJ60" s="48"/>
      <c r="AK60" s="48"/>
      <c r="AL60" s="48"/>
      <c r="AM60" s="49"/>
      <c r="AN60" s="47" t="s">
        <v>243</v>
      </c>
      <c r="AO60" s="48"/>
      <c r="AP60" s="48"/>
      <c r="AQ60" s="48"/>
      <c r="AR60" s="48"/>
      <c r="AS60" s="48"/>
      <c r="AT60" s="48"/>
      <c r="AU60" s="48"/>
      <c r="AV60" s="48"/>
      <c r="AW60" s="48"/>
      <c r="AX60" s="48"/>
      <c r="AY60" s="48"/>
      <c r="AZ60" s="48"/>
      <c r="BA60" s="48"/>
      <c r="BB60" s="48"/>
      <c r="BC60" s="48"/>
      <c r="BD60" s="48"/>
      <c r="BE60" s="49"/>
      <c r="BF60" s="216" t="s">
        <v>61</v>
      </c>
      <c r="BG60" s="217"/>
      <c r="BH60" s="217"/>
      <c r="BI60" s="217"/>
      <c r="BJ60" s="217"/>
      <c r="BK60" s="217"/>
      <c r="BL60" s="217"/>
      <c r="BM60" s="217"/>
      <c r="BN60" s="217"/>
      <c r="BO60" s="217"/>
      <c r="BP60" s="217"/>
      <c r="BQ60" s="217"/>
      <c r="BR60" s="217"/>
      <c r="BS60" s="217"/>
      <c r="BT60" s="218"/>
      <c r="BU60" s="219" t="s">
        <v>42</v>
      </c>
      <c r="BV60" s="220"/>
      <c r="BW60" s="220"/>
      <c r="BX60" s="220"/>
      <c r="BY60" s="220"/>
      <c r="BZ60" s="220"/>
      <c r="CA60" s="220"/>
      <c r="CB60" s="220"/>
      <c r="CC60" s="220"/>
      <c r="CD60" s="220"/>
      <c r="CE60" s="220"/>
      <c r="CF60" s="220"/>
      <c r="CG60" s="220"/>
      <c r="CH60" s="220"/>
      <c r="CI60" s="220"/>
      <c r="CJ60" s="220"/>
      <c r="CK60" s="220"/>
      <c r="CL60" s="220"/>
      <c r="CM60" s="220"/>
      <c r="CN60" s="221"/>
      <c r="CO60" s="248"/>
      <c r="CP60" s="249"/>
      <c r="CQ60" s="249"/>
      <c r="CR60" s="249"/>
      <c r="CS60" s="249"/>
      <c r="CT60" s="249"/>
      <c r="CU60" s="250"/>
      <c r="CV60" s="172"/>
      <c r="CW60" s="173"/>
      <c r="CX60" s="173"/>
      <c r="CY60" s="174"/>
      <c r="CZ60" s="248"/>
      <c r="DA60" s="249"/>
      <c r="DB60" s="249"/>
      <c r="DC60" s="249"/>
      <c r="DD60" s="249"/>
      <c r="DE60" s="249"/>
      <c r="DF60" s="249"/>
      <c r="DG60" s="249"/>
      <c r="DH60" s="249"/>
      <c r="DI60" s="250"/>
      <c r="DJ60" s="163"/>
      <c r="DK60" s="164"/>
      <c r="DL60" s="164"/>
      <c r="DM60" s="164"/>
      <c r="DN60" s="165"/>
      <c r="DO60" s="263"/>
      <c r="DP60" s="264"/>
      <c r="DQ60" s="264"/>
      <c r="DR60" s="264"/>
      <c r="DS60" s="265"/>
      <c r="DT60" s="21"/>
      <c r="DU60" s="5"/>
      <c r="DV60" s="5"/>
      <c r="DW60" s="5"/>
      <c r="DX60" s="5"/>
      <c r="DY60" s="5"/>
      <c r="DZ60" s="5"/>
    </row>
    <row r="61" spans="2:130" ht="12.75" customHeight="1" thickBot="1">
      <c r="B61" s="334"/>
      <c r="C61" s="335"/>
      <c r="D61" s="335"/>
      <c r="E61" s="335"/>
      <c r="F61" s="335"/>
      <c r="G61" s="335"/>
      <c r="H61" s="335"/>
      <c r="I61" s="335"/>
      <c r="J61" s="335"/>
      <c r="K61" s="335"/>
      <c r="L61" s="335"/>
      <c r="M61" s="335"/>
      <c r="N61" s="335"/>
      <c r="O61" s="335"/>
      <c r="P61" s="336"/>
      <c r="Q61" s="284"/>
      <c r="R61" s="285"/>
      <c r="S61" s="285"/>
      <c r="T61" s="285"/>
      <c r="U61" s="285"/>
      <c r="V61" s="285"/>
      <c r="W61" s="285"/>
      <c r="X61" s="285"/>
      <c r="Y61" s="285"/>
      <c r="Z61" s="285"/>
      <c r="AA61" s="285"/>
      <c r="AB61" s="285"/>
      <c r="AC61" s="285"/>
      <c r="AD61" s="285"/>
      <c r="AE61" s="285"/>
      <c r="AF61" s="285"/>
      <c r="AG61" s="285"/>
      <c r="AH61" s="285"/>
      <c r="AI61" s="285"/>
      <c r="AJ61" s="285"/>
      <c r="AK61" s="285"/>
      <c r="AL61" s="285"/>
      <c r="AM61" s="286"/>
      <c r="AN61" s="284"/>
      <c r="AO61" s="285"/>
      <c r="AP61" s="285"/>
      <c r="AQ61" s="285"/>
      <c r="AR61" s="285"/>
      <c r="AS61" s="285"/>
      <c r="AT61" s="285"/>
      <c r="AU61" s="285"/>
      <c r="AV61" s="285"/>
      <c r="AW61" s="285"/>
      <c r="AX61" s="285"/>
      <c r="AY61" s="285"/>
      <c r="AZ61" s="285"/>
      <c r="BA61" s="285"/>
      <c r="BB61" s="285"/>
      <c r="BC61" s="285"/>
      <c r="BD61" s="285"/>
      <c r="BE61" s="286"/>
      <c r="BF61" s="311" t="str">
        <f>LEFT(DCC_NO,13)</f>
        <v>10-13191-0002</v>
      </c>
      <c r="BG61" s="312"/>
      <c r="BH61" s="312"/>
      <c r="BI61" s="312"/>
      <c r="BJ61" s="312"/>
      <c r="BK61" s="312"/>
      <c r="BL61" s="312"/>
      <c r="BM61" s="312"/>
      <c r="BN61" s="312"/>
      <c r="BO61" s="312"/>
      <c r="BP61" s="312"/>
      <c r="BQ61" s="312"/>
      <c r="BR61" s="312"/>
      <c r="BS61" s="312"/>
      <c r="BT61" s="313"/>
      <c r="BU61" s="222"/>
      <c r="BV61" s="223"/>
      <c r="BW61" s="223"/>
      <c r="BX61" s="223"/>
      <c r="BY61" s="223"/>
      <c r="BZ61" s="223"/>
      <c r="CA61" s="223"/>
      <c r="CB61" s="223"/>
      <c r="CC61" s="223"/>
      <c r="CD61" s="223"/>
      <c r="CE61" s="223"/>
      <c r="CF61" s="223"/>
      <c r="CG61" s="223"/>
      <c r="CH61" s="223"/>
      <c r="CI61" s="223"/>
      <c r="CJ61" s="223"/>
      <c r="CK61" s="223"/>
      <c r="CL61" s="223"/>
      <c r="CM61" s="223"/>
      <c r="CN61" s="224"/>
      <c r="CO61" s="251"/>
      <c r="CP61" s="252"/>
      <c r="CQ61" s="252"/>
      <c r="CR61" s="252"/>
      <c r="CS61" s="252"/>
      <c r="CT61" s="252"/>
      <c r="CU61" s="253"/>
      <c r="CV61" s="175"/>
      <c r="CW61" s="176"/>
      <c r="CX61" s="176"/>
      <c r="CY61" s="177"/>
      <c r="CZ61" s="251"/>
      <c r="DA61" s="252"/>
      <c r="DB61" s="252"/>
      <c r="DC61" s="252"/>
      <c r="DD61" s="252"/>
      <c r="DE61" s="252"/>
      <c r="DF61" s="252"/>
      <c r="DG61" s="252"/>
      <c r="DH61" s="252"/>
      <c r="DI61" s="253"/>
      <c r="DJ61" s="166"/>
      <c r="DK61" s="167"/>
      <c r="DL61" s="167"/>
      <c r="DM61" s="167"/>
      <c r="DN61" s="168"/>
      <c r="DO61" s="266"/>
      <c r="DP61" s="267"/>
      <c r="DQ61" s="267"/>
      <c r="DR61" s="267"/>
      <c r="DS61" s="268"/>
      <c r="DT61" s="21"/>
      <c r="DU61" s="5"/>
      <c r="DV61" s="5"/>
      <c r="DW61" s="5"/>
      <c r="DX61" s="5"/>
      <c r="DY61" s="5"/>
      <c r="DZ61" s="5"/>
    </row>
    <row r="62" spans="2:130" ht="12.75" customHeight="1">
      <c r="B62" s="234" t="s">
        <v>27</v>
      </c>
      <c r="C62" s="234"/>
      <c r="D62" s="234"/>
      <c r="E62" s="234"/>
      <c r="F62" s="234"/>
      <c r="G62" s="234"/>
      <c r="H62" s="234"/>
      <c r="I62" s="234"/>
      <c r="J62" s="234"/>
      <c r="K62" s="234"/>
      <c r="L62" s="234"/>
      <c r="M62" s="234"/>
      <c r="N62" s="234"/>
      <c r="O62" s="234"/>
      <c r="P62" s="234"/>
      <c r="Q62" s="234"/>
      <c r="R62" s="234"/>
      <c r="S62" s="234"/>
      <c r="T62" s="234"/>
      <c r="U62" s="234"/>
      <c r="V62" s="234"/>
      <c r="W62" s="234"/>
      <c r="X62" s="234"/>
      <c r="Y62" s="234"/>
      <c r="Z62" s="234"/>
      <c r="AA62" s="234"/>
      <c r="AB62" s="234"/>
      <c r="AC62" s="234"/>
      <c r="AD62" s="234"/>
      <c r="AE62" s="234"/>
      <c r="AF62" s="234"/>
      <c r="AG62" s="234"/>
      <c r="AH62" s="234"/>
      <c r="AI62" s="234"/>
      <c r="AJ62" s="234"/>
      <c r="AK62" s="234"/>
      <c r="AL62" s="234"/>
      <c r="AM62" s="234"/>
      <c r="AN62" s="234"/>
      <c r="AO62" s="234"/>
      <c r="AP62" s="234"/>
      <c r="AQ62" s="234"/>
      <c r="AR62" s="234"/>
      <c r="AS62" s="234"/>
      <c r="AT62" s="234"/>
      <c r="AU62" s="234"/>
      <c r="AV62" s="234"/>
      <c r="AW62" s="234"/>
      <c r="AX62" s="234"/>
      <c r="AY62" s="234"/>
      <c r="AZ62" s="234"/>
      <c r="BA62" s="234"/>
      <c r="BB62" s="234"/>
      <c r="BC62" s="234"/>
      <c r="BD62" s="234"/>
      <c r="BE62" s="234"/>
      <c r="BF62" s="234"/>
      <c r="BG62" s="234"/>
      <c r="BH62" s="234"/>
      <c r="BI62" s="234"/>
      <c r="BJ62" s="234"/>
      <c r="BK62" s="234"/>
      <c r="BL62" s="234"/>
      <c r="BM62" s="234"/>
      <c r="BN62" s="234"/>
      <c r="BO62" s="234"/>
      <c r="BP62" s="234"/>
      <c r="BQ62" s="234"/>
      <c r="BR62" s="234"/>
      <c r="BS62" s="234"/>
      <c r="BT62" s="234"/>
      <c r="BU62" s="234"/>
      <c r="BV62" s="234"/>
      <c r="BW62" s="234"/>
      <c r="BX62" s="234"/>
      <c r="BY62" s="234"/>
      <c r="BZ62" s="234"/>
      <c r="CA62" s="234"/>
      <c r="CB62" s="234"/>
      <c r="CC62" s="234"/>
      <c r="CD62" s="234"/>
      <c r="CE62" s="234"/>
      <c r="CF62" s="234"/>
      <c r="CG62" s="234"/>
      <c r="CH62" s="234"/>
      <c r="CI62" s="234"/>
      <c r="CJ62" s="234"/>
      <c r="CK62" s="234"/>
      <c r="CL62" s="234"/>
      <c r="CM62" s="234"/>
      <c r="CN62" s="234"/>
      <c r="CO62" s="234"/>
      <c r="CP62" s="234"/>
      <c r="CQ62" s="234"/>
      <c r="CR62" s="234"/>
      <c r="CS62" s="1"/>
      <c r="CT62" s="1"/>
      <c r="CU62" s="1"/>
      <c r="CV62" s="1"/>
      <c r="CW62" s="1"/>
      <c r="CX62" s="1"/>
      <c r="CY62" s="1"/>
      <c r="CZ62" s="1"/>
      <c r="DA62" s="1"/>
      <c r="DB62" s="154" t="s">
        <v>32</v>
      </c>
      <c r="DC62" s="154"/>
      <c r="DD62" s="154"/>
      <c r="DE62" s="154"/>
      <c r="DF62" s="154"/>
      <c r="DG62" s="154"/>
      <c r="DH62" s="154"/>
      <c r="DI62" s="154"/>
      <c r="DJ62" s="154"/>
      <c r="DK62" s="154"/>
      <c r="DL62" s="154"/>
      <c r="DM62" s="154"/>
      <c r="DN62" s="154"/>
      <c r="DO62" s="154"/>
      <c r="DP62" s="154"/>
      <c r="DQ62" s="154"/>
      <c r="DR62" s="154"/>
      <c r="DS62" s="154"/>
      <c r="DT62" s="22"/>
      <c r="DU62" s="10"/>
      <c r="DV62" s="10"/>
      <c r="DW62" s="10"/>
      <c r="DX62" s="10"/>
      <c r="DY62" s="10"/>
      <c r="DZ62" s="10"/>
    </row>
    <row r="63" spans="2:130" ht="12.75" customHeight="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F63" s="22"/>
      <c r="DG63" s="22"/>
      <c r="DH63" s="22"/>
      <c r="DI63" s="22"/>
      <c r="DJ63" s="22"/>
      <c r="DK63" s="22"/>
      <c r="DL63" s="22"/>
      <c r="DM63" s="22"/>
      <c r="DN63" s="22"/>
      <c r="DO63" s="22"/>
      <c r="DP63" s="231" t="s">
        <v>31</v>
      </c>
      <c r="DQ63" s="232"/>
      <c r="DR63" s="232"/>
      <c r="DS63" s="233"/>
      <c r="DT63" s="21"/>
      <c r="DU63" s="9"/>
      <c r="DW63" s="11"/>
      <c r="DX63" s="11"/>
      <c r="DY63" s="11"/>
      <c r="DZ63" s="11"/>
    </row>
    <row r="69" spans="93:93" ht="12.75" customHeight="1">
      <c r="CO69" s="13"/>
    </row>
  </sheetData>
  <sheetProtection selectLockedCells="1"/>
  <mergeCells count="1031">
    <mergeCell ref="CT29:CZ29"/>
    <mergeCell ref="DA29:DE29"/>
    <mergeCell ref="CA29:CC29"/>
    <mergeCell ref="CT30:CZ30"/>
    <mergeCell ref="DA30:DE30"/>
    <mergeCell ref="DF30:DI30"/>
    <mergeCell ref="CA30:CC30"/>
    <mergeCell ref="CD30:CF30"/>
    <mergeCell ref="CG30:CJ30"/>
    <mergeCell ref="CK30:CL30"/>
    <mergeCell ref="M29:P29"/>
    <mergeCell ref="Q29:T29"/>
    <mergeCell ref="DN29:DS29"/>
    <mergeCell ref="DF29:DI29"/>
    <mergeCell ref="U29:AA29"/>
    <mergeCell ref="DJ29:DM29"/>
    <mergeCell ref="BT29:BV29"/>
    <mergeCell ref="BW29:BZ29"/>
    <mergeCell ref="CK29:CL29"/>
    <mergeCell ref="CM29:CS29"/>
    <mergeCell ref="AO29:AY29"/>
    <mergeCell ref="AZ29:BJ29"/>
    <mergeCell ref="CD29:CF29"/>
    <mergeCell ref="CG29:CJ29"/>
    <mergeCell ref="B29:G29"/>
    <mergeCell ref="H29:L29"/>
    <mergeCell ref="BK29:BM29"/>
    <mergeCell ref="BN29:BP29"/>
    <mergeCell ref="BQ29:BS29"/>
    <mergeCell ref="CA41:CC41"/>
    <mergeCell ref="BN43:BP43"/>
    <mergeCell ref="BN23:BP23"/>
    <mergeCell ref="BN34:BP34"/>
    <mergeCell ref="BN35:BP35"/>
    <mergeCell ref="BN38:BP38"/>
    <mergeCell ref="BN40:BP40"/>
    <mergeCell ref="BN41:BP41"/>
    <mergeCell ref="BN36:BP36"/>
    <mergeCell ref="BQ36:BS36"/>
    <mergeCell ref="B27:G27"/>
    <mergeCell ref="B31:G31"/>
    <mergeCell ref="CD31:CF31"/>
    <mergeCell ref="BT30:BV30"/>
    <mergeCell ref="BN32:BP32"/>
    <mergeCell ref="BQ32:BS32"/>
    <mergeCell ref="BW32:BZ32"/>
    <mergeCell ref="CA32:CC32"/>
    <mergeCell ref="CD32:CF32"/>
    <mergeCell ref="CG32:CJ32"/>
    <mergeCell ref="AO36:AY36"/>
    <mergeCell ref="AZ36:BJ36"/>
    <mergeCell ref="DA26:DE26"/>
    <mergeCell ref="DF26:DI26"/>
    <mergeCell ref="BW26:BZ26"/>
    <mergeCell ref="CK25:CL25"/>
    <mergeCell ref="CG25:CJ25"/>
    <mergeCell ref="DN9:DS9"/>
    <mergeCell ref="BN11:BP11"/>
    <mergeCell ref="BN13:BP13"/>
    <mergeCell ref="BN15:BP15"/>
    <mergeCell ref="BN17:BP17"/>
    <mergeCell ref="BN19:BP19"/>
    <mergeCell ref="BN9:BP9"/>
    <mergeCell ref="CM9:CS9"/>
    <mergeCell ref="CT9:CZ9"/>
    <mergeCell ref="DA9:DE9"/>
    <mergeCell ref="DF9:DI9"/>
    <mergeCell ref="DJ9:DM9"/>
    <mergeCell ref="DF11:DI11"/>
    <mergeCell ref="CG11:CJ11"/>
    <mergeCell ref="DA11:DE11"/>
    <mergeCell ref="CK12:CL12"/>
    <mergeCell ref="DN11:DS11"/>
    <mergeCell ref="DJ10:DM10"/>
    <mergeCell ref="DJ11:DM11"/>
    <mergeCell ref="CM10:CS10"/>
    <mergeCell ref="CM11:CS11"/>
    <mergeCell ref="CT10:CZ10"/>
    <mergeCell ref="CT11:CZ11"/>
    <mergeCell ref="BN10:BP10"/>
    <mergeCell ref="Q10:T10"/>
    <mergeCell ref="Q11:T11"/>
    <mergeCell ref="U11:AA11"/>
    <mergeCell ref="AO11:AY11"/>
    <mergeCell ref="AB10:AN10"/>
    <mergeCell ref="AB11:AN11"/>
    <mergeCell ref="AZ10:BJ10"/>
    <mergeCell ref="AZ11:BJ11"/>
    <mergeCell ref="BK10:BM10"/>
    <mergeCell ref="BK11:BM11"/>
    <mergeCell ref="AO10:AY10"/>
    <mergeCell ref="CD10:CF10"/>
    <mergeCell ref="CD11:CF11"/>
    <mergeCell ref="CG10:CJ10"/>
    <mergeCell ref="CK11:CL11"/>
    <mergeCell ref="BT10:BV10"/>
    <mergeCell ref="BT11:BV11"/>
    <mergeCell ref="BW10:BZ10"/>
    <mergeCell ref="BW11:BZ11"/>
    <mergeCell ref="CA10:CC10"/>
    <mergeCell ref="CA11:CC11"/>
    <mergeCell ref="DA10:DE10"/>
    <mergeCell ref="B11:G11"/>
    <mergeCell ref="H10:L10"/>
    <mergeCell ref="H11:L11"/>
    <mergeCell ref="B7:G7"/>
    <mergeCell ref="M7:P7"/>
    <mergeCell ref="M10:P10"/>
    <mergeCell ref="BQ7:BS7"/>
    <mergeCell ref="BT7:BV7"/>
    <mergeCell ref="BQ6:BS6"/>
    <mergeCell ref="BT6:BV6"/>
    <mergeCell ref="CM12:CS12"/>
    <mergeCell ref="CT12:CZ12"/>
    <mergeCell ref="DF10:DI10"/>
    <mergeCell ref="DA12:DE12"/>
    <mergeCell ref="CK10:CL10"/>
    <mergeCell ref="BQ10:BS10"/>
    <mergeCell ref="BQ11:BS11"/>
    <mergeCell ref="CM8:CS8"/>
    <mergeCell ref="CT8:CZ8"/>
    <mergeCell ref="DA8:DE8"/>
    <mergeCell ref="DF8:DI8"/>
    <mergeCell ref="CA12:CC12"/>
    <mergeCell ref="CK8:CL8"/>
    <mergeCell ref="CK9:CL9"/>
    <mergeCell ref="BT9:BV9"/>
    <mergeCell ref="BW9:BZ9"/>
    <mergeCell ref="CA9:CC9"/>
    <mergeCell ref="BN8:BP8"/>
    <mergeCell ref="BQ8:BS8"/>
    <mergeCell ref="BT8:BV8"/>
    <mergeCell ref="BW8:BZ8"/>
    <mergeCell ref="DJ6:DM6"/>
    <mergeCell ref="DJ7:DM7"/>
    <mergeCell ref="DN7:DS7"/>
    <mergeCell ref="CD7:CF7"/>
    <mergeCell ref="CG7:CJ7"/>
    <mergeCell ref="CK7:CL7"/>
    <mergeCell ref="CT7:CZ7"/>
    <mergeCell ref="DA7:DE7"/>
    <mergeCell ref="DF7:DI7"/>
    <mergeCell ref="B10:G10"/>
    <mergeCell ref="U10:AA10"/>
    <mergeCell ref="U8:AA8"/>
    <mergeCell ref="AB8:AN8"/>
    <mergeCell ref="BK9:BM9"/>
    <mergeCell ref="H6:L6"/>
    <mergeCell ref="M6:P6"/>
    <mergeCell ref="Q6:T6"/>
    <mergeCell ref="DN10:DS10"/>
    <mergeCell ref="DJ8:DM8"/>
    <mergeCell ref="DN8:DS8"/>
    <mergeCell ref="CG9:CJ9"/>
    <mergeCell ref="B9:G9"/>
    <mergeCell ref="H9:L9"/>
    <mergeCell ref="M9:P9"/>
    <mergeCell ref="Q9:T9"/>
    <mergeCell ref="U9:AA9"/>
    <mergeCell ref="BQ9:BS9"/>
    <mergeCell ref="CD9:CF9"/>
    <mergeCell ref="CG8:CJ8"/>
    <mergeCell ref="AO8:AY8"/>
    <mergeCell ref="AZ8:BJ8"/>
    <mergeCell ref="BK8:BM8"/>
    <mergeCell ref="DN12:DS12"/>
    <mergeCell ref="DF12:DI12"/>
    <mergeCell ref="BQ13:BS13"/>
    <mergeCell ref="BT13:BV13"/>
    <mergeCell ref="U12:AA12"/>
    <mergeCell ref="DJ12:DM12"/>
    <mergeCell ref="DJ13:DM13"/>
    <mergeCell ref="BT12:BV12"/>
    <mergeCell ref="BW12:BZ12"/>
    <mergeCell ref="U13:AA13"/>
    <mergeCell ref="BK12:BM12"/>
    <mergeCell ref="BN12:BP12"/>
    <mergeCell ref="BQ12:BS12"/>
    <mergeCell ref="AZ13:BJ13"/>
    <mergeCell ref="AB12:AN12"/>
    <mergeCell ref="BW6:BZ6"/>
    <mergeCell ref="CA6:CC6"/>
    <mergeCell ref="BW7:BZ7"/>
    <mergeCell ref="CA7:CC7"/>
    <mergeCell ref="CK6:CL6"/>
    <mergeCell ref="CM6:CS6"/>
    <mergeCell ref="AO6:AY6"/>
    <mergeCell ref="AZ6:BJ6"/>
    <mergeCell ref="BK6:BM6"/>
    <mergeCell ref="BN6:BP6"/>
    <mergeCell ref="CD6:CF6"/>
    <mergeCell ref="CG6:CJ6"/>
    <mergeCell ref="DN6:DS6"/>
    <mergeCell ref="CM7:CS7"/>
    <mergeCell ref="CT6:CZ6"/>
    <mergeCell ref="DA6:DE6"/>
    <mergeCell ref="DF6:DI6"/>
    <mergeCell ref="AN57:BE57"/>
    <mergeCell ref="Q56:AM56"/>
    <mergeCell ref="BN48:BP48"/>
    <mergeCell ref="BF50:CN50"/>
    <mergeCell ref="BF48:BM48"/>
    <mergeCell ref="DN13:DS13"/>
    <mergeCell ref="BW13:BZ13"/>
    <mergeCell ref="CA13:CC13"/>
    <mergeCell ref="CD13:CF13"/>
    <mergeCell ref="CG13:CJ13"/>
    <mergeCell ref="CK13:CL13"/>
    <mergeCell ref="CT13:CZ13"/>
    <mergeCell ref="DA13:DE13"/>
    <mergeCell ref="DF13:DI13"/>
    <mergeCell ref="CM13:CS13"/>
    <mergeCell ref="CA27:CC27"/>
    <mergeCell ref="BW27:BZ27"/>
    <mergeCell ref="BT27:BV27"/>
    <mergeCell ref="CA23:CC23"/>
    <mergeCell ref="BW44:BZ44"/>
    <mergeCell ref="DJ30:DM30"/>
    <mergeCell ref="DN30:DS30"/>
    <mergeCell ref="BW30:BZ30"/>
    <mergeCell ref="CK27:CL27"/>
    <mergeCell ref="BN27:BP27"/>
    <mergeCell ref="CM27:CS27"/>
    <mergeCell ref="CT27:CZ27"/>
    <mergeCell ref="DA27:DE27"/>
    <mergeCell ref="DF27:DI27"/>
    <mergeCell ref="DJ27:DM27"/>
    <mergeCell ref="DN27:DS27"/>
    <mergeCell ref="CT26:CZ26"/>
    <mergeCell ref="BT53:CG53"/>
    <mergeCell ref="CH53:CN53"/>
    <mergeCell ref="BF55:BL55"/>
    <mergeCell ref="AN61:BE61"/>
    <mergeCell ref="BF61:BT61"/>
    <mergeCell ref="BF59:BJ59"/>
    <mergeCell ref="BK58:BP58"/>
    <mergeCell ref="BQ59:CN59"/>
    <mergeCell ref="M12:P12"/>
    <mergeCell ref="Q12:T12"/>
    <mergeCell ref="Q13:T13"/>
    <mergeCell ref="AB13:AN13"/>
    <mergeCell ref="B46:P47"/>
    <mergeCell ref="Q46:BE47"/>
    <mergeCell ref="B25:G25"/>
    <mergeCell ref="CD12:CF12"/>
    <mergeCell ref="CG12:CJ12"/>
    <mergeCell ref="AO13:AY13"/>
    <mergeCell ref="BK13:BM13"/>
    <mergeCell ref="B12:G12"/>
    <mergeCell ref="H12:L12"/>
    <mergeCell ref="H25:L25"/>
    <mergeCell ref="B48:P61"/>
    <mergeCell ref="Q48:BE54"/>
    <mergeCell ref="H13:L13"/>
    <mergeCell ref="M13:P13"/>
    <mergeCell ref="BW42:BZ42"/>
    <mergeCell ref="CA42:CC42"/>
    <mergeCell ref="CA43:CC43"/>
    <mergeCell ref="Q55:BE55"/>
    <mergeCell ref="BM57:BS57"/>
    <mergeCell ref="AN56:BE56"/>
    <mergeCell ref="DP63:DS63"/>
    <mergeCell ref="B62:CR62"/>
    <mergeCell ref="Q60:AM60"/>
    <mergeCell ref="AN60:BE60"/>
    <mergeCell ref="CO56:CU58"/>
    <mergeCell ref="CV52:DA53"/>
    <mergeCell ref="DL52:DS53"/>
    <mergeCell ref="DB52:DK53"/>
    <mergeCell ref="CZ59:DI61"/>
    <mergeCell ref="CO49:DN51"/>
    <mergeCell ref="DO59:DS61"/>
    <mergeCell ref="CV56:CY58"/>
    <mergeCell ref="DK55:DS55"/>
    <mergeCell ref="CO59:CU61"/>
    <mergeCell ref="CB55:CG55"/>
    <mergeCell ref="BF56:BL56"/>
    <mergeCell ref="BM56:BS56"/>
    <mergeCell ref="BT56:CA56"/>
    <mergeCell ref="CB56:CG56"/>
    <mergeCell ref="CH55:CN55"/>
    <mergeCell ref="AN58:BE58"/>
    <mergeCell ref="Q61:AM61"/>
    <mergeCell ref="Q58:AM58"/>
    <mergeCell ref="BF49:CN49"/>
    <mergeCell ref="BU54:BY54"/>
    <mergeCell ref="BM55:BS55"/>
    <mergeCell ref="BT55:CA55"/>
    <mergeCell ref="BQ58:CN58"/>
    <mergeCell ref="BT57:CA57"/>
    <mergeCell ref="CB57:CG57"/>
    <mergeCell ref="BF51:BM51"/>
    <mergeCell ref="BF57:BL57"/>
    <mergeCell ref="DJ2:DM5"/>
    <mergeCell ref="DN2:DS5"/>
    <mergeCell ref="DB62:DS62"/>
    <mergeCell ref="DJ56:DN58"/>
    <mergeCell ref="CZ56:DI58"/>
    <mergeCell ref="CO54:DS54"/>
    <mergeCell ref="DJ59:DN61"/>
    <mergeCell ref="CV59:CY61"/>
    <mergeCell ref="DO49:DS49"/>
    <mergeCell ref="CO52:CU53"/>
    <mergeCell ref="DA4:DE5"/>
    <mergeCell ref="CG4:CJ5"/>
    <mergeCell ref="CK4:CL5"/>
    <mergeCell ref="BW4:BZ5"/>
    <mergeCell ref="BT4:BV5"/>
    <mergeCell ref="CM5:CS5"/>
    <mergeCell ref="CT4:CZ5"/>
    <mergeCell ref="CA4:CC5"/>
    <mergeCell ref="BT2:CC3"/>
    <mergeCell ref="CD4:CF5"/>
    <mergeCell ref="CM4:CS4"/>
    <mergeCell ref="CD2:DI3"/>
    <mergeCell ref="DF4:DI5"/>
    <mergeCell ref="BF60:BT60"/>
    <mergeCell ref="BU60:CN61"/>
    <mergeCell ref="BK59:BP59"/>
    <mergeCell ref="BK26:BM26"/>
    <mergeCell ref="BN26:BP26"/>
    <mergeCell ref="BF58:BJ58"/>
    <mergeCell ref="CD27:CF27"/>
    <mergeCell ref="CH57:CN57"/>
    <mergeCell ref="BT22:BV22"/>
    <mergeCell ref="H4:L5"/>
    <mergeCell ref="M4:P5"/>
    <mergeCell ref="Q4:T5"/>
    <mergeCell ref="U4:AA5"/>
    <mergeCell ref="BQ2:BS5"/>
    <mergeCell ref="BK2:BP3"/>
    <mergeCell ref="AB25:AN25"/>
    <mergeCell ref="AO4:AY5"/>
    <mergeCell ref="H2:BJ3"/>
    <mergeCell ref="BK25:BM25"/>
    <mergeCell ref="AO14:AY14"/>
    <mergeCell ref="BK4:BK5"/>
    <mergeCell ref="BL4:BM5"/>
    <mergeCell ref="AO12:AY12"/>
    <mergeCell ref="AZ12:BJ12"/>
    <mergeCell ref="BN4:BN5"/>
    <mergeCell ref="BO4:BP5"/>
    <mergeCell ref="AZ4:BJ5"/>
    <mergeCell ref="AB4:AN5"/>
    <mergeCell ref="AB6:AN6"/>
    <mergeCell ref="BN7:BP7"/>
    <mergeCell ref="BK7:BM7"/>
    <mergeCell ref="AZ7:BJ7"/>
    <mergeCell ref="AO7:AY7"/>
    <mergeCell ref="AZ25:BJ25"/>
    <mergeCell ref="AO25:AY25"/>
    <mergeCell ref="U6:AA6"/>
    <mergeCell ref="H7:L7"/>
    <mergeCell ref="AO22:AY22"/>
    <mergeCell ref="AZ22:BJ22"/>
    <mergeCell ref="AZ9:BJ9"/>
    <mergeCell ref="BQ22:BS22"/>
    <mergeCell ref="B2:G5"/>
    <mergeCell ref="Q25:T25"/>
    <mergeCell ref="M25:P25"/>
    <mergeCell ref="B8:G8"/>
    <mergeCell ref="H8:L8"/>
    <mergeCell ref="M8:P8"/>
    <mergeCell ref="Q8:T8"/>
    <mergeCell ref="B13:G13"/>
    <mergeCell ref="M11:P11"/>
    <mergeCell ref="M31:P31"/>
    <mergeCell ref="Q31:T31"/>
    <mergeCell ref="AO26:AY26"/>
    <mergeCell ref="AZ26:BJ26"/>
    <mergeCell ref="U31:AA31"/>
    <mergeCell ref="AB31:AN31"/>
    <mergeCell ref="M30:P30"/>
    <mergeCell ref="Q30:T30"/>
    <mergeCell ref="U30:AA30"/>
    <mergeCell ref="AB30:AN30"/>
    <mergeCell ref="AO27:AY27"/>
    <mergeCell ref="Q7:T7"/>
    <mergeCell ref="U7:AA7"/>
    <mergeCell ref="AB7:AN7"/>
    <mergeCell ref="AB9:AN9"/>
    <mergeCell ref="AO9:AY9"/>
    <mergeCell ref="AB22:AN22"/>
    <mergeCell ref="AO23:AY23"/>
    <mergeCell ref="AO15:AY15"/>
    <mergeCell ref="AO17:AY17"/>
    <mergeCell ref="AB29:AN29"/>
    <mergeCell ref="B6:G6"/>
    <mergeCell ref="U25:AA25"/>
    <mergeCell ref="CO55:DJ55"/>
    <mergeCell ref="BZ54:CG54"/>
    <mergeCell ref="CK22:CL22"/>
    <mergeCell ref="BW25:BZ25"/>
    <mergeCell ref="CA25:CC25"/>
    <mergeCell ref="CT22:CZ22"/>
    <mergeCell ref="CM22:CS22"/>
    <mergeCell ref="BK22:BM22"/>
    <mergeCell ref="BN22:BP22"/>
    <mergeCell ref="CA22:CC22"/>
    <mergeCell ref="CT25:CZ25"/>
    <mergeCell ref="CM25:CS25"/>
    <mergeCell ref="DJ22:DM22"/>
    <mergeCell ref="CD25:CF25"/>
    <mergeCell ref="CA26:CC26"/>
    <mergeCell ref="CD26:CF26"/>
    <mergeCell ref="CG26:CJ26"/>
    <mergeCell ref="DJ26:DM26"/>
    <mergeCell ref="CM26:CS26"/>
    <mergeCell ref="DJ25:DM25"/>
    <mergeCell ref="CD23:CF23"/>
    <mergeCell ref="DA22:DE22"/>
    <mergeCell ref="CG27:CJ27"/>
    <mergeCell ref="BQ25:BS25"/>
    <mergeCell ref="BQ26:BS26"/>
    <mergeCell ref="DF22:DI22"/>
    <mergeCell ref="BW22:BZ22"/>
    <mergeCell ref="CK26:CL26"/>
    <mergeCell ref="CD22:CF22"/>
    <mergeCell ref="BQ48:CN48"/>
    <mergeCell ref="CH54:CN54"/>
    <mergeCell ref="BF53:BS54"/>
    <mergeCell ref="CO46:DS48"/>
    <mergeCell ref="CD51:CN51"/>
    <mergeCell ref="BN51:CC51"/>
    <mergeCell ref="DA25:DE25"/>
    <mergeCell ref="BF46:CN47"/>
    <mergeCell ref="DO50:DS51"/>
    <mergeCell ref="BW31:BZ31"/>
    <mergeCell ref="CA31:CC31"/>
    <mergeCell ref="DN25:DS25"/>
    <mergeCell ref="DF25:DI25"/>
    <mergeCell ref="Q59:AM59"/>
    <mergeCell ref="DO56:DS58"/>
    <mergeCell ref="BF52:CN52"/>
    <mergeCell ref="CT34:CZ34"/>
    <mergeCell ref="BT23:BV23"/>
    <mergeCell ref="BW23:BZ23"/>
    <mergeCell ref="CG23:CJ23"/>
    <mergeCell ref="CK23:CL23"/>
    <mergeCell ref="CM23:CS23"/>
    <mergeCell ref="DA23:DE23"/>
    <mergeCell ref="AZ27:BJ27"/>
    <mergeCell ref="BK27:BM27"/>
    <mergeCell ref="BQ31:BS31"/>
    <mergeCell ref="BT31:BV31"/>
    <mergeCell ref="BN25:BP25"/>
    <mergeCell ref="BT25:BV25"/>
    <mergeCell ref="BT26:BV26"/>
    <mergeCell ref="BQ27:BS27"/>
    <mergeCell ref="AZ30:BJ30"/>
    <mergeCell ref="CM31:CS31"/>
    <mergeCell ref="BQ23:BS23"/>
    <mergeCell ref="CH56:CN56"/>
    <mergeCell ref="CA8:CC8"/>
    <mergeCell ref="CD8:CF8"/>
    <mergeCell ref="CT31:CZ31"/>
    <mergeCell ref="DA31:DE31"/>
    <mergeCell ref="DF31:DI31"/>
    <mergeCell ref="AN59:BE59"/>
    <mergeCell ref="Q57:AM57"/>
    <mergeCell ref="AO31:AY31"/>
    <mergeCell ref="AZ31:BJ31"/>
    <mergeCell ref="BK31:BM31"/>
    <mergeCell ref="BN31:BP31"/>
    <mergeCell ref="AO32:AY32"/>
    <mergeCell ref="DJ31:DM31"/>
    <mergeCell ref="DN31:DS31"/>
    <mergeCell ref="B26:G26"/>
    <mergeCell ref="H26:L26"/>
    <mergeCell ref="M26:P26"/>
    <mergeCell ref="Q26:T26"/>
    <mergeCell ref="U26:AA26"/>
    <mergeCell ref="AB26:AN26"/>
    <mergeCell ref="CG31:CJ31"/>
    <mergeCell ref="CK31:CL31"/>
    <mergeCell ref="M27:P27"/>
    <mergeCell ref="Q27:T27"/>
    <mergeCell ref="U27:AA27"/>
    <mergeCell ref="AB27:AN27"/>
    <mergeCell ref="B32:G32"/>
    <mergeCell ref="H32:L32"/>
    <mergeCell ref="M32:P32"/>
    <mergeCell ref="Q32:T32"/>
    <mergeCell ref="U32:AA32"/>
    <mergeCell ref="AB32:AN32"/>
    <mergeCell ref="AZ32:BJ32"/>
    <mergeCell ref="BK32:BM32"/>
    <mergeCell ref="B22:G22"/>
    <mergeCell ref="H22:L22"/>
    <mergeCell ref="M22:P22"/>
    <mergeCell ref="Q22:T22"/>
    <mergeCell ref="U22:AA22"/>
    <mergeCell ref="H24:L24"/>
    <mergeCell ref="H31:L31"/>
    <mergeCell ref="DN22:DS22"/>
    <mergeCell ref="B23:G23"/>
    <mergeCell ref="H23:L23"/>
    <mergeCell ref="M23:P23"/>
    <mergeCell ref="Q23:T23"/>
    <mergeCell ref="U23:AA23"/>
    <mergeCell ref="AB23:AN23"/>
    <mergeCell ref="AZ23:BJ23"/>
    <mergeCell ref="BK23:BM23"/>
    <mergeCell ref="DJ23:DM23"/>
    <mergeCell ref="CT23:CZ23"/>
    <mergeCell ref="DN23:DS23"/>
    <mergeCell ref="H27:L27"/>
    <mergeCell ref="B28:G28"/>
    <mergeCell ref="H28:L28"/>
    <mergeCell ref="M28:P28"/>
    <mergeCell ref="Q28:T28"/>
    <mergeCell ref="U28:AA28"/>
    <mergeCell ref="BK28:BM28"/>
    <mergeCell ref="BN28:BP28"/>
    <mergeCell ref="BQ28:BS28"/>
    <mergeCell ref="DF23:DI23"/>
    <mergeCell ref="CT28:CZ28"/>
    <mergeCell ref="DA28:DE28"/>
    <mergeCell ref="DF28:DI28"/>
    <mergeCell ref="CK32:CL32"/>
    <mergeCell ref="CM32:CS32"/>
    <mergeCell ref="DA32:DE32"/>
    <mergeCell ref="DF32:DI32"/>
    <mergeCell ref="DJ32:DM32"/>
    <mergeCell ref="CT32:CZ32"/>
    <mergeCell ref="DN32:DS32"/>
    <mergeCell ref="B34:G34"/>
    <mergeCell ref="H34:L34"/>
    <mergeCell ref="M34:P34"/>
    <mergeCell ref="Q34:T34"/>
    <mergeCell ref="U34:AA34"/>
    <mergeCell ref="AB34:AN34"/>
    <mergeCell ref="CD34:CF34"/>
    <mergeCell ref="CK34:CL34"/>
    <mergeCell ref="CM34:CS34"/>
    <mergeCell ref="AO34:AY34"/>
    <mergeCell ref="AZ34:BJ34"/>
    <mergeCell ref="BK34:BM34"/>
    <mergeCell ref="BQ34:BS34"/>
    <mergeCell ref="BT34:BV34"/>
    <mergeCell ref="BW34:BZ34"/>
    <mergeCell ref="CA34:CC34"/>
    <mergeCell ref="CG34:CJ34"/>
    <mergeCell ref="DA34:DE34"/>
    <mergeCell ref="DF34:DI34"/>
    <mergeCell ref="DJ34:DM34"/>
    <mergeCell ref="DN34:DS34"/>
    <mergeCell ref="BT32:BV32"/>
    <mergeCell ref="B33:G33"/>
    <mergeCell ref="B44:G44"/>
    <mergeCell ref="H44:L44"/>
    <mergeCell ref="M44:P44"/>
    <mergeCell ref="Q44:T44"/>
    <mergeCell ref="U44:AA44"/>
    <mergeCell ref="AB44:AN44"/>
    <mergeCell ref="AO44:AY44"/>
    <mergeCell ref="AZ44:BJ44"/>
    <mergeCell ref="BK44:BM44"/>
    <mergeCell ref="BN44:BP44"/>
    <mergeCell ref="BQ44:BS44"/>
    <mergeCell ref="BT44:BV44"/>
    <mergeCell ref="CD44:CF44"/>
    <mergeCell ref="CG44:CJ44"/>
    <mergeCell ref="CK44:CL44"/>
    <mergeCell ref="CM44:CS44"/>
    <mergeCell ref="CT44:CZ44"/>
    <mergeCell ref="CA44:CC44"/>
    <mergeCell ref="DA44:DE44"/>
    <mergeCell ref="DF44:DI44"/>
    <mergeCell ref="DJ44:DM44"/>
    <mergeCell ref="DN44:DS44"/>
    <mergeCell ref="B35:G35"/>
    <mergeCell ref="H35:L35"/>
    <mergeCell ref="M35:P35"/>
    <mergeCell ref="Q35:T35"/>
    <mergeCell ref="U35:AA35"/>
    <mergeCell ref="AB35:AN35"/>
    <mergeCell ref="AO35:AY35"/>
    <mergeCell ref="AZ35:BJ35"/>
    <mergeCell ref="BK35:BM35"/>
    <mergeCell ref="BQ35:BS35"/>
    <mergeCell ref="CD35:CF35"/>
    <mergeCell ref="CG35:CJ35"/>
    <mergeCell ref="BT35:BV35"/>
    <mergeCell ref="BW35:BZ35"/>
    <mergeCell ref="CA35:CC35"/>
    <mergeCell ref="CK35:CL35"/>
    <mergeCell ref="CM35:CS35"/>
    <mergeCell ref="CT35:CZ35"/>
    <mergeCell ref="DA35:DE35"/>
    <mergeCell ref="DF35:DI35"/>
    <mergeCell ref="DJ35:DM35"/>
    <mergeCell ref="DN35:DS35"/>
    <mergeCell ref="B36:G36"/>
    <mergeCell ref="H36:L36"/>
    <mergeCell ref="M36:P36"/>
    <mergeCell ref="Q36:T36"/>
    <mergeCell ref="U36:AA36"/>
    <mergeCell ref="AB36:AN36"/>
    <mergeCell ref="CM36:CS36"/>
    <mergeCell ref="CT36:CZ36"/>
    <mergeCell ref="DA36:DE36"/>
    <mergeCell ref="DF36:DI36"/>
    <mergeCell ref="DJ36:DM36"/>
    <mergeCell ref="DN36:DS36"/>
    <mergeCell ref="BW37:BZ37"/>
    <mergeCell ref="B37:G37"/>
    <mergeCell ref="H37:L37"/>
    <mergeCell ref="M37:P37"/>
    <mergeCell ref="Q37:T37"/>
    <mergeCell ref="U37:AA37"/>
    <mergeCell ref="AB37:AN37"/>
    <mergeCell ref="CD37:CF37"/>
    <mergeCell ref="BN37:BP37"/>
    <mergeCell ref="CG37:CJ37"/>
    <mergeCell ref="CK37:CL37"/>
    <mergeCell ref="CM37:CS37"/>
    <mergeCell ref="AO37:AY37"/>
    <mergeCell ref="AZ37:BJ37"/>
    <mergeCell ref="BK37:BM37"/>
    <mergeCell ref="BQ37:BS37"/>
    <mergeCell ref="BT37:BV37"/>
    <mergeCell ref="DA37:DE37"/>
    <mergeCell ref="DF37:DI37"/>
    <mergeCell ref="DN37:DS37"/>
    <mergeCell ref="H33:L33"/>
    <mergeCell ref="M33:P33"/>
    <mergeCell ref="Q33:T33"/>
    <mergeCell ref="U33:AA33"/>
    <mergeCell ref="CA37:CC37"/>
    <mergeCell ref="AO33:AY33"/>
    <mergeCell ref="DA33:DE33"/>
    <mergeCell ref="CD38:CF38"/>
    <mergeCell ref="CG38:CJ38"/>
    <mergeCell ref="AZ33:BJ33"/>
    <mergeCell ref="BK33:BM33"/>
    <mergeCell ref="BN33:BP33"/>
    <mergeCell ref="BQ33:BS33"/>
    <mergeCell ref="BT33:BV33"/>
    <mergeCell ref="CT37:CZ37"/>
    <mergeCell ref="CT33:CZ33"/>
    <mergeCell ref="CA38:CC38"/>
    <mergeCell ref="AB38:AN38"/>
    <mergeCell ref="AO38:AY38"/>
    <mergeCell ref="CD33:CF33"/>
    <mergeCell ref="CG33:CJ33"/>
    <mergeCell ref="CK33:CL33"/>
    <mergeCell ref="CA33:CC33"/>
    <mergeCell ref="CM33:CS33"/>
    <mergeCell ref="AB33:AN33"/>
    <mergeCell ref="BK36:BM36"/>
    <mergeCell ref="BT36:BV36"/>
    <mergeCell ref="BW36:BZ36"/>
    <mergeCell ref="CA36:CC36"/>
    <mergeCell ref="CD36:CF36"/>
    <mergeCell ref="CG36:CJ36"/>
    <mergeCell ref="CK36:CL36"/>
    <mergeCell ref="DF33:DI33"/>
    <mergeCell ref="DJ33:DM33"/>
    <mergeCell ref="DN33:DS33"/>
    <mergeCell ref="B38:G38"/>
    <mergeCell ref="H38:L38"/>
    <mergeCell ref="M38:P38"/>
    <mergeCell ref="Q38:T38"/>
    <mergeCell ref="U38:AA38"/>
    <mergeCell ref="BW33:BZ33"/>
    <mergeCell ref="DN38:DS38"/>
    <mergeCell ref="AO39:AY39"/>
    <mergeCell ref="AZ39:BJ39"/>
    <mergeCell ref="BK39:BM39"/>
    <mergeCell ref="BN39:BP39"/>
    <mergeCell ref="BQ39:BS39"/>
    <mergeCell ref="BT39:BV39"/>
    <mergeCell ref="DA38:DE38"/>
    <mergeCell ref="DF38:DI38"/>
    <mergeCell ref="DJ38:DM38"/>
    <mergeCell ref="AZ38:BJ38"/>
    <mergeCell ref="BK38:BM38"/>
    <mergeCell ref="BQ38:BS38"/>
    <mergeCell ref="CK38:CL38"/>
    <mergeCell ref="CM38:CS38"/>
    <mergeCell ref="CT38:CZ38"/>
    <mergeCell ref="BW38:BZ38"/>
    <mergeCell ref="BT38:BV38"/>
    <mergeCell ref="B39:G39"/>
    <mergeCell ref="H39:L39"/>
    <mergeCell ref="M39:P39"/>
    <mergeCell ref="Q39:T39"/>
    <mergeCell ref="DJ37:DM37"/>
    <mergeCell ref="U39:AA39"/>
    <mergeCell ref="AB39:AN39"/>
    <mergeCell ref="CA39:CC39"/>
    <mergeCell ref="CD39:CF39"/>
    <mergeCell ref="CG39:CJ39"/>
    <mergeCell ref="CK39:CL39"/>
    <mergeCell ref="CM39:CS39"/>
    <mergeCell ref="CT39:CZ39"/>
    <mergeCell ref="DA39:DE39"/>
    <mergeCell ref="DF39:DI39"/>
    <mergeCell ref="DJ39:DM39"/>
    <mergeCell ref="DN39:DS39"/>
    <mergeCell ref="B40:G40"/>
    <mergeCell ref="H40:L40"/>
    <mergeCell ref="M40:P40"/>
    <mergeCell ref="Q40:T40"/>
    <mergeCell ref="U40:AA40"/>
    <mergeCell ref="AB40:AN40"/>
    <mergeCell ref="AO40:AY40"/>
    <mergeCell ref="AZ40:BJ40"/>
    <mergeCell ref="BK40:BM40"/>
    <mergeCell ref="BQ40:BS40"/>
    <mergeCell ref="CD40:CF40"/>
    <mergeCell ref="BW39:BZ39"/>
    <mergeCell ref="BW17:BZ17"/>
    <mergeCell ref="CA17:CC17"/>
    <mergeCell ref="BK18:BM18"/>
    <mergeCell ref="BN18:BP18"/>
    <mergeCell ref="BQ18:BS18"/>
    <mergeCell ref="CG40:CJ40"/>
    <mergeCell ref="BT40:BV40"/>
    <mergeCell ref="BW40:BZ40"/>
    <mergeCell ref="CA40:CC40"/>
    <mergeCell ref="CK40:CL40"/>
    <mergeCell ref="CM40:CS40"/>
    <mergeCell ref="CT40:CZ40"/>
    <mergeCell ref="DA40:DE40"/>
    <mergeCell ref="DF40:DI40"/>
    <mergeCell ref="DJ40:DM40"/>
    <mergeCell ref="DN40:DS40"/>
    <mergeCell ref="AB45:AN45"/>
    <mergeCell ref="AO45:AY45"/>
    <mergeCell ref="AZ45:BJ45"/>
    <mergeCell ref="BK45:BM45"/>
    <mergeCell ref="BN45:BP45"/>
    <mergeCell ref="BQ45:BS45"/>
    <mergeCell ref="BT45:BV45"/>
    <mergeCell ref="BW45:BZ45"/>
    <mergeCell ref="CA45:CC45"/>
    <mergeCell ref="CD45:CF45"/>
    <mergeCell ref="CG45:CJ45"/>
    <mergeCell ref="CK45:CL45"/>
    <mergeCell ref="CM45:CS45"/>
    <mergeCell ref="CT45:CZ45"/>
    <mergeCell ref="DA45:DE45"/>
    <mergeCell ref="DF45:DI45"/>
    <mergeCell ref="DJ45:DM45"/>
    <mergeCell ref="DN45:DS45"/>
    <mergeCell ref="B41:G41"/>
    <mergeCell ref="H41:L41"/>
    <mergeCell ref="M41:P41"/>
    <mergeCell ref="Q41:T41"/>
    <mergeCell ref="U41:AA41"/>
    <mergeCell ref="CD41:CF41"/>
    <mergeCell ref="AB41:AN41"/>
    <mergeCell ref="AO41:AY41"/>
    <mergeCell ref="BK41:BM41"/>
    <mergeCell ref="BQ41:BS41"/>
    <mergeCell ref="CM41:CS41"/>
    <mergeCell ref="CT41:CZ41"/>
    <mergeCell ref="DA41:DE41"/>
    <mergeCell ref="DF41:DI41"/>
    <mergeCell ref="DJ41:DM41"/>
    <mergeCell ref="CG41:CJ41"/>
    <mergeCell ref="CK41:CL41"/>
    <mergeCell ref="BT41:BV41"/>
    <mergeCell ref="BW41:BZ41"/>
    <mergeCell ref="DN41:DS41"/>
    <mergeCell ref="B42:G42"/>
    <mergeCell ref="H42:L42"/>
    <mergeCell ref="M42:P42"/>
    <mergeCell ref="Q42:T42"/>
    <mergeCell ref="U42:AA42"/>
    <mergeCell ref="AB42:AN42"/>
    <mergeCell ref="AO42:AY42"/>
    <mergeCell ref="AZ42:BJ42"/>
    <mergeCell ref="BK42:BM42"/>
    <mergeCell ref="BN42:BP42"/>
    <mergeCell ref="M43:P43"/>
    <mergeCell ref="Q43:T43"/>
    <mergeCell ref="U43:AA43"/>
    <mergeCell ref="AB43:AN43"/>
    <mergeCell ref="CG43:CJ43"/>
    <mergeCell ref="CK43:CL43"/>
    <mergeCell ref="CM43:CS43"/>
    <mergeCell ref="CT43:CZ43"/>
    <mergeCell ref="DA43:DE43"/>
    <mergeCell ref="AO43:AY43"/>
    <mergeCell ref="AZ43:BJ43"/>
    <mergeCell ref="BK43:BM43"/>
    <mergeCell ref="BQ43:BS43"/>
    <mergeCell ref="BT43:BV43"/>
    <mergeCell ref="DF43:DI43"/>
    <mergeCell ref="DJ43:DM43"/>
    <mergeCell ref="DN43:DS43"/>
    <mergeCell ref="B14:G14"/>
    <mergeCell ref="H14:L14"/>
    <mergeCell ref="M14:P14"/>
    <mergeCell ref="Q14:T14"/>
    <mergeCell ref="U14:AA14"/>
    <mergeCell ref="AB14:AN14"/>
    <mergeCell ref="AZ14:BJ14"/>
    <mergeCell ref="BK14:BM14"/>
    <mergeCell ref="BN14:BP14"/>
    <mergeCell ref="BQ14:BS14"/>
    <mergeCell ref="BT14:BV14"/>
    <mergeCell ref="BW14:BZ14"/>
    <mergeCell ref="CA14:CC14"/>
    <mergeCell ref="CD14:CF14"/>
    <mergeCell ref="CG14:CJ14"/>
    <mergeCell ref="CK14:CL14"/>
    <mergeCell ref="CM14:CS14"/>
    <mergeCell ref="DF15:DI15"/>
    <mergeCell ref="DJ15:DM15"/>
    <mergeCell ref="DN15:DS15"/>
    <mergeCell ref="AZ41:BJ41"/>
    <mergeCell ref="M45:P45"/>
    <mergeCell ref="B45:G45"/>
    <mergeCell ref="U45:AA45"/>
    <mergeCell ref="H45:L45"/>
    <mergeCell ref="Q45:T45"/>
    <mergeCell ref="CD43:CF43"/>
    <mergeCell ref="CM30:CS30"/>
    <mergeCell ref="B30:G30"/>
    <mergeCell ref="H30:L30"/>
    <mergeCell ref="AO30:AY30"/>
    <mergeCell ref="BK30:BM30"/>
    <mergeCell ref="BN30:BP30"/>
    <mergeCell ref="BQ30:BS30"/>
    <mergeCell ref="B16:G16"/>
    <mergeCell ref="BQ42:BS42"/>
    <mergeCell ref="BT42:BV42"/>
    <mergeCell ref="CD42:CF42"/>
    <mergeCell ref="CG42:CJ42"/>
    <mergeCell ref="CK42:CL42"/>
    <mergeCell ref="CM42:CS42"/>
    <mergeCell ref="CT42:CZ42"/>
    <mergeCell ref="DA42:DE42"/>
    <mergeCell ref="DF42:DI42"/>
    <mergeCell ref="DJ42:DM42"/>
    <mergeCell ref="DN42:DS42"/>
    <mergeCell ref="BW43:BZ43"/>
    <mergeCell ref="B43:G43"/>
    <mergeCell ref="H43:L43"/>
    <mergeCell ref="BT16:BV16"/>
    <mergeCell ref="AO16:AY16"/>
    <mergeCell ref="AZ16:BJ16"/>
    <mergeCell ref="BW16:BZ16"/>
    <mergeCell ref="CA16:CC16"/>
    <mergeCell ref="CD16:CF16"/>
    <mergeCell ref="CG16:CJ16"/>
    <mergeCell ref="CK16:CL16"/>
    <mergeCell ref="CM16:CS16"/>
    <mergeCell ref="CT14:CZ14"/>
    <mergeCell ref="DA14:DE14"/>
    <mergeCell ref="DF14:DI14"/>
    <mergeCell ref="DJ14:DM14"/>
    <mergeCell ref="DN14:DS14"/>
    <mergeCell ref="B15:G15"/>
    <mergeCell ref="H15:L15"/>
    <mergeCell ref="M15:P15"/>
    <mergeCell ref="Q15:T15"/>
    <mergeCell ref="U15:AA15"/>
    <mergeCell ref="AB15:AN15"/>
    <mergeCell ref="AZ15:BJ15"/>
    <mergeCell ref="BK15:BM15"/>
    <mergeCell ref="BQ15:BS15"/>
    <mergeCell ref="BT15:BV15"/>
    <mergeCell ref="BW15:BZ15"/>
    <mergeCell ref="CA15:CC15"/>
    <mergeCell ref="CD15:CF15"/>
    <mergeCell ref="CG15:CJ15"/>
    <mergeCell ref="CK15:CL15"/>
    <mergeCell ref="CM15:CS15"/>
    <mergeCell ref="CT15:CZ15"/>
    <mergeCell ref="DA15:DE15"/>
    <mergeCell ref="CT16:CZ16"/>
    <mergeCell ref="DA16:DE16"/>
    <mergeCell ref="DF16:DI16"/>
    <mergeCell ref="DJ16:DM16"/>
    <mergeCell ref="DN16:DS16"/>
    <mergeCell ref="B17:G17"/>
    <mergeCell ref="H17:L17"/>
    <mergeCell ref="M17:P17"/>
    <mergeCell ref="Q17:T17"/>
    <mergeCell ref="U17:AA17"/>
    <mergeCell ref="AB17:AN17"/>
    <mergeCell ref="AZ17:BJ17"/>
    <mergeCell ref="BK17:BM17"/>
    <mergeCell ref="BQ17:BS17"/>
    <mergeCell ref="CD17:CF17"/>
    <mergeCell ref="BT17:BV17"/>
    <mergeCell ref="CG17:CJ17"/>
    <mergeCell ref="CK17:CL17"/>
    <mergeCell ref="CM17:CS17"/>
    <mergeCell ref="CT17:CZ17"/>
    <mergeCell ref="DA17:DE17"/>
    <mergeCell ref="DF17:DI17"/>
    <mergeCell ref="DJ17:DM17"/>
    <mergeCell ref="DN17:DS17"/>
    <mergeCell ref="H16:L16"/>
    <mergeCell ref="M16:P16"/>
    <mergeCell ref="Q16:T16"/>
    <mergeCell ref="U16:AA16"/>
    <mergeCell ref="AB16:AN16"/>
    <mergeCell ref="BK16:BM16"/>
    <mergeCell ref="BN16:BP16"/>
    <mergeCell ref="BQ16:BS16"/>
    <mergeCell ref="B18:G18"/>
    <mergeCell ref="H18:L18"/>
    <mergeCell ref="M18:P18"/>
    <mergeCell ref="Q18:T18"/>
    <mergeCell ref="U18:AA18"/>
    <mergeCell ref="AB18:AN18"/>
    <mergeCell ref="AO18:AY18"/>
    <mergeCell ref="AZ18:BJ18"/>
    <mergeCell ref="BT18:BV18"/>
    <mergeCell ref="BW18:BZ18"/>
    <mergeCell ref="CA18:CC18"/>
    <mergeCell ref="CD18:CF18"/>
    <mergeCell ref="CG18:CJ18"/>
    <mergeCell ref="CK18:CL18"/>
    <mergeCell ref="CM18:CS18"/>
    <mergeCell ref="CT18:CZ18"/>
    <mergeCell ref="DA18:DE18"/>
    <mergeCell ref="B19:G19"/>
    <mergeCell ref="H19:L19"/>
    <mergeCell ref="M19:P19"/>
    <mergeCell ref="Q19:T19"/>
    <mergeCell ref="U19:AA19"/>
    <mergeCell ref="AB19:AN19"/>
    <mergeCell ref="AO19:AY19"/>
    <mergeCell ref="AZ19:BJ19"/>
    <mergeCell ref="BK19:BM19"/>
    <mergeCell ref="BQ19:BS19"/>
    <mergeCell ref="BT19:BV19"/>
    <mergeCell ref="BW19:BZ19"/>
    <mergeCell ref="CA19:CC19"/>
    <mergeCell ref="CD19:CF19"/>
    <mergeCell ref="CG19:CJ19"/>
    <mergeCell ref="CK19:CL19"/>
    <mergeCell ref="CM19:CS19"/>
    <mergeCell ref="Q20:T20"/>
    <mergeCell ref="U20:AA20"/>
    <mergeCell ref="AB20:AN20"/>
    <mergeCell ref="AO20:AY20"/>
    <mergeCell ref="AZ20:BJ20"/>
    <mergeCell ref="BK20:BM20"/>
    <mergeCell ref="BN20:BP20"/>
    <mergeCell ref="BQ20:BS20"/>
    <mergeCell ref="BT20:BV20"/>
    <mergeCell ref="BW20:BZ20"/>
    <mergeCell ref="CA20:CC20"/>
    <mergeCell ref="CD20:CF20"/>
    <mergeCell ref="CG20:CJ20"/>
    <mergeCell ref="CK20:CL20"/>
    <mergeCell ref="DF18:DI18"/>
    <mergeCell ref="DJ18:DM18"/>
    <mergeCell ref="DN18:DS18"/>
    <mergeCell ref="CT19:CZ19"/>
    <mergeCell ref="DA19:DE19"/>
    <mergeCell ref="DF19:DI19"/>
    <mergeCell ref="DJ19:DM19"/>
    <mergeCell ref="DN19:DS19"/>
    <mergeCell ref="CM20:CS20"/>
    <mergeCell ref="CT20:CZ20"/>
    <mergeCell ref="DA20:DE20"/>
    <mergeCell ref="DF20:DI20"/>
    <mergeCell ref="DJ20:DM20"/>
    <mergeCell ref="DN20:DS20"/>
    <mergeCell ref="CD24:CF24"/>
    <mergeCell ref="CG24:CJ24"/>
    <mergeCell ref="CK24:CL24"/>
    <mergeCell ref="B21:G21"/>
    <mergeCell ref="H21:L21"/>
    <mergeCell ref="M21:P21"/>
    <mergeCell ref="Q21:T21"/>
    <mergeCell ref="U21:AA21"/>
    <mergeCell ref="AB21:AN21"/>
    <mergeCell ref="AO21:AY21"/>
    <mergeCell ref="AZ21:BJ21"/>
    <mergeCell ref="BK21:BM21"/>
    <mergeCell ref="BQ21:BS21"/>
    <mergeCell ref="BT21:BV21"/>
    <mergeCell ref="BN21:BP21"/>
    <mergeCell ref="DJ21:DM21"/>
    <mergeCell ref="DN21:DS21"/>
    <mergeCell ref="BW21:BZ21"/>
    <mergeCell ref="CA21:CC21"/>
    <mergeCell ref="CD21:CF21"/>
    <mergeCell ref="CT21:CZ21"/>
    <mergeCell ref="DA21:DE21"/>
    <mergeCell ref="DF21:DI21"/>
    <mergeCell ref="CG21:CJ21"/>
    <mergeCell ref="CK21:CL21"/>
    <mergeCell ref="CM21:CS21"/>
    <mergeCell ref="CG22:CJ22"/>
    <mergeCell ref="DA24:DE24"/>
    <mergeCell ref="DF24:DI24"/>
    <mergeCell ref="B24:G24"/>
    <mergeCell ref="CM24:CS24"/>
    <mergeCell ref="CT24:CZ24"/>
    <mergeCell ref="DN26:DS26"/>
    <mergeCell ref="B20:G20"/>
    <mergeCell ref="H20:L20"/>
    <mergeCell ref="M20:P20"/>
    <mergeCell ref="DJ28:DM28"/>
    <mergeCell ref="DN28:DS28"/>
    <mergeCell ref="BT28:BV28"/>
    <mergeCell ref="BW28:BZ28"/>
    <mergeCell ref="CA28:CC28"/>
    <mergeCell ref="CD28:CF28"/>
    <mergeCell ref="CG28:CJ28"/>
    <mergeCell ref="M24:P24"/>
    <mergeCell ref="Q24:T24"/>
    <mergeCell ref="U24:AA24"/>
    <mergeCell ref="AB24:AN24"/>
    <mergeCell ref="CM28:CS28"/>
    <mergeCell ref="CK28:CL28"/>
    <mergeCell ref="AB28:AN28"/>
    <mergeCell ref="AO28:AY28"/>
    <mergeCell ref="AZ28:BJ28"/>
    <mergeCell ref="AO24:AY24"/>
    <mergeCell ref="AZ24:BJ24"/>
    <mergeCell ref="BK24:BM24"/>
    <mergeCell ref="BQ24:BS24"/>
    <mergeCell ref="BT24:BV24"/>
    <mergeCell ref="BW24:BZ24"/>
    <mergeCell ref="BN24:BP24"/>
    <mergeCell ref="DJ24:DM24"/>
    <mergeCell ref="DN24:DS24"/>
    <mergeCell ref="CA24:CC24"/>
  </mergeCells>
  <phoneticPr fontId="0" type="noConversion"/>
  <dataValidations disablePrompts="1" count="12">
    <dataValidation allowBlank="1" showErrorMessage="1" prompt="Job Title: confirmed by Slim 10/21/2000" sqref="DS64" xr:uid="{E0F43ACD-F77F-4204-8C6E-C903CE0C4217}"/>
    <dataValidation type="list" allowBlank="1" showInputMessage="1" showErrorMessage="1" sqref="BL4:BM5" xr:uid="{58B76B96-49A1-406D-ABC0-7E5F36D16272}">
      <formula1>"oC,oF"</formula1>
    </dataValidation>
    <dataValidation type="list" allowBlank="1" showInputMessage="1" showErrorMessage="1" sqref="BO4:BP5" xr:uid="{230232FA-7A91-4382-B4F1-3DE6015B2B98}">
      <formula1>"PSIG,Kg/cm2"</formula1>
    </dataValidation>
    <dataValidation type="list" allowBlank="1" showInputMessage="1" showErrorMessage="1" sqref="CK4:CL5 BW4:BZ5" xr:uid="{FD58C972-9551-4CFB-A9CB-C8FE414B6063}">
      <formula1>"GPM,MSCFH,M3/H"</formula1>
    </dataValidation>
    <dataValidation type="list" allowBlank="1" showInputMessage="1" showErrorMessage="1" sqref="CA4:CC5" xr:uid="{85B73B8D-23FA-4398-B1E4-C731F0F702EA}">
      <formula1>"LBS/H,Kg/H"</formula1>
    </dataValidation>
    <dataValidation type="list" allowBlank="1" showInputMessage="1" showErrorMessage="1" sqref="CD4:CF5" xr:uid="{32C70237-0E40-45FC-B815-722351DD0634}">
      <formula1>"Temp    oF,Temp   oC"</formula1>
    </dataValidation>
    <dataValidation type="list" allowBlank="1" showInputMessage="1" showErrorMessage="1" sqref="CG4:CJ5" xr:uid="{CC789779-1DBA-470E-93B6-FBB8E255ABE4}">
      <formula1>"Press PSIG,Press Kg/cm2"</formula1>
    </dataValidation>
    <dataValidation type="list" allowBlank="1" showInputMessage="1" showErrorMessage="1" sqref="CM5:CS5" xr:uid="{B9E51443-CC68-4849-ADDD-2A030FFF14C6}">
      <formula1>"kg/s.m,lbs/s.ft"</formula1>
    </dataValidation>
    <dataValidation type="list" allowBlank="1" showInputMessage="1" showErrorMessage="1" sqref="CT4:CZ5" xr:uid="{1B76C482-262D-4A1F-A871-C2C1D7CEA3FC}">
      <formula1>"LBS/Cu.FT,Kg/M3"</formula1>
    </dataValidation>
    <dataValidation type="list" allowBlank="1" showInputMessage="1" showErrorMessage="1" sqref="DA4:DE5" xr:uid="{C35F2D39-1FA4-47E0-89EC-B156073B56F6}">
      <formula1>"VELOCITY     FPS,VELOCITY    M2/Sec"</formula1>
    </dataValidation>
    <dataValidation type="list" allowBlank="1" showInputMessage="1" showErrorMessage="1" sqref="DJ2:DM5" xr:uid="{428CE58A-1329-4C68-B0A0-9819266DBFB9}">
      <formula1>"TOTAL   LENGTH             M,TOTAL   LENGTH      Feet"</formula1>
    </dataValidation>
    <dataValidation type="list" allowBlank="1" showInputMessage="1" showErrorMessage="1" sqref="DN2:DS5" xr:uid="{F10DF8F5-A13E-49B1-A235-6E40FEA669AF}">
      <formula1>"TOTAL EQUIVALENT LENGTH   MTR,TOTAL EQUIVALENT  LENGTH      Feet"</formula1>
    </dataValidation>
  </dataValidations>
  <printOptions horizontalCentered="1" verticalCentered="1"/>
  <pageMargins left="0" right="0" top="0" bottom="0" header="0" footer="0"/>
  <pageSetup paperSize="17" scale="40" orientation="landscape" r:id="rId1"/>
  <ignoredErrors>
    <ignoredError sqref="CA7:CC8 BT20:BV21 BW17 CA14:CC45 Q37:T38 CK6:CL45 CD32:CJ45 CT13:CZ45 Q23 Q32 Q34" numberStoredAsText="1"/>
    <ignoredError sqref="BN48 BM57 BF59 BF61 BK59 BT57 CB5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973" r:id="rId4" name="REVIEW_KEY_DWG">
              <controlPr defaultSize="0" autoFill="0" autoLine="0" autoPict="0">
                <anchor moveWithCells="1" sizeWithCells="1">
                  <from>
                    <xdr:col>71</xdr:col>
                    <xdr:colOff>0</xdr:colOff>
                    <xdr:row>52</xdr:row>
                    <xdr:rowOff>139700</xdr:rowOff>
                  </from>
                  <to>
                    <xdr:col>73</xdr:col>
                    <xdr:colOff>0</xdr:colOff>
                    <xdr:row>53</xdr:row>
                    <xdr:rowOff>152400</xdr:rowOff>
                  </to>
                </anchor>
              </controlPr>
            </control>
          </mc:Choice>
        </mc:AlternateContent>
        <mc:AlternateContent xmlns:mc="http://schemas.openxmlformats.org/markup-compatibility/2006">
          <mc:Choice Requires="x14">
            <control shapeId="2951" r:id="rId5" name="Check Box 1927">
              <controlPr defaultSize="0" autoFill="0" autoLine="0" autoPict="0">
                <anchor moveWithCells="1">
                  <from>
                    <xdr:col>1</xdr:col>
                    <xdr:colOff>152400</xdr:colOff>
                    <xdr:row>37</xdr:row>
                    <xdr:rowOff>114300</xdr:rowOff>
                  </from>
                  <to>
                    <xdr:col>1</xdr:col>
                    <xdr:colOff>165100</xdr:colOff>
                    <xdr:row>38</xdr:row>
                    <xdr:rowOff>101600</xdr:rowOff>
                  </to>
                </anchor>
              </controlPr>
            </control>
          </mc:Choice>
        </mc:AlternateContent>
        <mc:AlternateContent xmlns:mc="http://schemas.openxmlformats.org/markup-compatibility/2006">
          <mc:Choice Requires="x14">
            <control shapeId="2952" r:id="rId6" name="Check Box 1928">
              <controlPr defaultSize="0" autoFill="0" autoLine="0" autoPict="0">
                <anchor moveWithCells="1">
                  <from>
                    <xdr:col>1</xdr:col>
                    <xdr:colOff>152400</xdr:colOff>
                    <xdr:row>37</xdr:row>
                    <xdr:rowOff>114300</xdr:rowOff>
                  </from>
                  <to>
                    <xdr:col>1</xdr:col>
                    <xdr:colOff>165100</xdr:colOff>
                    <xdr:row>38</xdr:row>
                    <xdr:rowOff>101600</xdr:rowOff>
                  </to>
                </anchor>
              </controlPr>
            </control>
          </mc:Choice>
        </mc:AlternateContent>
        <mc:AlternateContent xmlns:mc="http://schemas.openxmlformats.org/markup-compatibility/2006">
          <mc:Choice Requires="x14">
            <control shapeId="3021" r:id="rId7" name="Check Box 1997">
              <controlPr defaultSize="0" autoFill="0" autoLine="0" autoPict="0">
                <anchor moveWithCells="1">
                  <from>
                    <xdr:col>1</xdr:col>
                    <xdr:colOff>152400</xdr:colOff>
                    <xdr:row>38</xdr:row>
                    <xdr:rowOff>0</xdr:rowOff>
                  </from>
                  <to>
                    <xdr:col>1</xdr:col>
                    <xdr:colOff>165100</xdr:colOff>
                    <xdr:row>38</xdr:row>
                    <xdr:rowOff>152400</xdr:rowOff>
                  </to>
                </anchor>
              </controlPr>
            </control>
          </mc:Choice>
        </mc:AlternateContent>
        <mc:AlternateContent xmlns:mc="http://schemas.openxmlformats.org/markup-compatibility/2006">
          <mc:Choice Requires="x14">
            <control shapeId="3022" r:id="rId8" name="Check Box 1998">
              <controlPr defaultSize="0" autoFill="0" autoLine="0" autoPict="0">
                <anchor moveWithCells="1">
                  <from>
                    <xdr:col>1</xdr:col>
                    <xdr:colOff>152400</xdr:colOff>
                    <xdr:row>38</xdr:row>
                    <xdr:rowOff>0</xdr:rowOff>
                  </from>
                  <to>
                    <xdr:col>1</xdr:col>
                    <xdr:colOff>165100</xdr:colOff>
                    <xdr:row>38</xdr:row>
                    <xdr:rowOff>152400</xdr:rowOff>
                  </to>
                </anchor>
              </controlPr>
            </control>
          </mc:Choice>
        </mc:AlternateContent>
        <mc:AlternateContent xmlns:mc="http://schemas.openxmlformats.org/markup-compatibility/2006">
          <mc:Choice Requires="x14">
            <control shapeId="3023" r:id="rId9" name="Check Box 1999">
              <controlPr defaultSize="0" autoFill="0" autoLine="0" autoPict="0">
                <anchor moveWithCells="1">
                  <from>
                    <xdr:col>1</xdr:col>
                    <xdr:colOff>152400</xdr:colOff>
                    <xdr:row>38</xdr:row>
                    <xdr:rowOff>114300</xdr:rowOff>
                  </from>
                  <to>
                    <xdr:col>1</xdr:col>
                    <xdr:colOff>165100</xdr:colOff>
                    <xdr:row>39</xdr:row>
                    <xdr:rowOff>88900</xdr:rowOff>
                  </to>
                </anchor>
              </controlPr>
            </control>
          </mc:Choice>
        </mc:AlternateContent>
        <mc:AlternateContent xmlns:mc="http://schemas.openxmlformats.org/markup-compatibility/2006">
          <mc:Choice Requires="x14">
            <control shapeId="3024" r:id="rId10" name="Check Box 2000">
              <controlPr defaultSize="0" autoFill="0" autoLine="0" autoPict="0">
                <anchor moveWithCells="1">
                  <from>
                    <xdr:col>1</xdr:col>
                    <xdr:colOff>152400</xdr:colOff>
                    <xdr:row>38</xdr:row>
                    <xdr:rowOff>114300</xdr:rowOff>
                  </from>
                  <to>
                    <xdr:col>1</xdr:col>
                    <xdr:colOff>165100</xdr:colOff>
                    <xdr:row>39</xdr:row>
                    <xdr:rowOff>88900</xdr:rowOff>
                  </to>
                </anchor>
              </controlPr>
            </control>
          </mc:Choice>
        </mc:AlternateContent>
        <mc:AlternateContent xmlns:mc="http://schemas.openxmlformats.org/markup-compatibility/2006">
          <mc:Choice Requires="x14">
            <control shapeId="3025" r:id="rId11" name="Check Box 2001">
              <controlPr defaultSize="0" autoFill="0" autoLine="0" autoPict="0">
                <anchor moveWithCells="1">
                  <from>
                    <xdr:col>1</xdr:col>
                    <xdr:colOff>152400</xdr:colOff>
                    <xdr:row>39</xdr:row>
                    <xdr:rowOff>114300</xdr:rowOff>
                  </from>
                  <to>
                    <xdr:col>1</xdr:col>
                    <xdr:colOff>165100</xdr:colOff>
                    <xdr:row>40</xdr:row>
                    <xdr:rowOff>88900</xdr:rowOff>
                  </to>
                </anchor>
              </controlPr>
            </control>
          </mc:Choice>
        </mc:AlternateContent>
        <mc:AlternateContent xmlns:mc="http://schemas.openxmlformats.org/markup-compatibility/2006">
          <mc:Choice Requires="x14">
            <control shapeId="3026" r:id="rId12" name="Check Box 2002">
              <controlPr defaultSize="0" autoFill="0" autoLine="0" autoPict="0">
                <anchor moveWithCells="1">
                  <from>
                    <xdr:col>1</xdr:col>
                    <xdr:colOff>152400</xdr:colOff>
                    <xdr:row>39</xdr:row>
                    <xdr:rowOff>114300</xdr:rowOff>
                  </from>
                  <to>
                    <xdr:col>1</xdr:col>
                    <xdr:colOff>165100</xdr:colOff>
                    <xdr:row>40</xdr:row>
                    <xdr:rowOff>88900</xdr:rowOff>
                  </to>
                </anchor>
              </controlPr>
            </control>
          </mc:Choice>
        </mc:AlternateContent>
        <mc:AlternateContent xmlns:mc="http://schemas.openxmlformats.org/markup-compatibility/2006">
          <mc:Choice Requires="x14">
            <control shapeId="3031" r:id="rId13" name="Check Box 2007">
              <controlPr defaultSize="0" autoFill="0" autoLine="0" autoPict="0">
                <anchor moveWithCells="1">
                  <from>
                    <xdr:col>1</xdr:col>
                    <xdr:colOff>152400</xdr:colOff>
                    <xdr:row>39</xdr:row>
                    <xdr:rowOff>114300</xdr:rowOff>
                  </from>
                  <to>
                    <xdr:col>1</xdr:col>
                    <xdr:colOff>165100</xdr:colOff>
                    <xdr:row>40</xdr:row>
                    <xdr:rowOff>88900</xdr:rowOff>
                  </to>
                </anchor>
              </controlPr>
            </control>
          </mc:Choice>
        </mc:AlternateContent>
        <mc:AlternateContent xmlns:mc="http://schemas.openxmlformats.org/markup-compatibility/2006">
          <mc:Choice Requires="x14">
            <control shapeId="3032" r:id="rId14" name="Check Box 2008">
              <controlPr defaultSize="0" autoFill="0" autoLine="0" autoPict="0">
                <anchor moveWithCells="1">
                  <from>
                    <xdr:col>1</xdr:col>
                    <xdr:colOff>152400</xdr:colOff>
                    <xdr:row>39</xdr:row>
                    <xdr:rowOff>114300</xdr:rowOff>
                  </from>
                  <to>
                    <xdr:col>1</xdr:col>
                    <xdr:colOff>165100</xdr:colOff>
                    <xdr:row>40</xdr:row>
                    <xdr:rowOff>88900</xdr:rowOff>
                  </to>
                </anchor>
              </controlPr>
            </control>
          </mc:Choice>
        </mc:AlternateContent>
        <mc:AlternateContent xmlns:mc="http://schemas.openxmlformats.org/markup-compatibility/2006">
          <mc:Choice Requires="x14">
            <control shapeId="3033" r:id="rId15" name="Check Box 2009">
              <controlPr defaultSize="0" autoFill="0" autoLine="0" autoPict="0">
                <anchor moveWithCells="1">
                  <from>
                    <xdr:col>1</xdr:col>
                    <xdr:colOff>152400</xdr:colOff>
                    <xdr:row>40</xdr:row>
                    <xdr:rowOff>114300</xdr:rowOff>
                  </from>
                  <to>
                    <xdr:col>1</xdr:col>
                    <xdr:colOff>165100</xdr:colOff>
                    <xdr:row>41</xdr:row>
                    <xdr:rowOff>88900</xdr:rowOff>
                  </to>
                </anchor>
              </controlPr>
            </control>
          </mc:Choice>
        </mc:AlternateContent>
        <mc:AlternateContent xmlns:mc="http://schemas.openxmlformats.org/markup-compatibility/2006">
          <mc:Choice Requires="x14">
            <control shapeId="3034" r:id="rId16" name="Check Box 2010">
              <controlPr defaultSize="0" autoFill="0" autoLine="0" autoPict="0">
                <anchor moveWithCells="1">
                  <from>
                    <xdr:col>1</xdr:col>
                    <xdr:colOff>152400</xdr:colOff>
                    <xdr:row>40</xdr:row>
                    <xdr:rowOff>114300</xdr:rowOff>
                  </from>
                  <to>
                    <xdr:col>1</xdr:col>
                    <xdr:colOff>165100</xdr:colOff>
                    <xdr:row>41</xdr:row>
                    <xdr:rowOff>88900</xdr:rowOff>
                  </to>
                </anchor>
              </controlPr>
            </control>
          </mc:Choice>
        </mc:AlternateContent>
        <mc:AlternateContent xmlns:mc="http://schemas.openxmlformats.org/markup-compatibility/2006">
          <mc:Choice Requires="x14">
            <control shapeId="3038" r:id="rId17" name="Check Box 2014">
              <controlPr defaultSize="0" autoFill="0" autoLine="0" autoPict="0">
                <anchor moveWithCells="1">
                  <from>
                    <xdr:col>1</xdr:col>
                    <xdr:colOff>152400</xdr:colOff>
                    <xdr:row>40</xdr:row>
                    <xdr:rowOff>114300</xdr:rowOff>
                  </from>
                  <to>
                    <xdr:col>1</xdr:col>
                    <xdr:colOff>165100</xdr:colOff>
                    <xdr:row>41</xdr:row>
                    <xdr:rowOff>88900</xdr:rowOff>
                  </to>
                </anchor>
              </controlPr>
            </control>
          </mc:Choice>
        </mc:AlternateContent>
        <mc:AlternateContent xmlns:mc="http://schemas.openxmlformats.org/markup-compatibility/2006">
          <mc:Choice Requires="x14">
            <control shapeId="3039" r:id="rId18" name="Check Box 2015">
              <controlPr defaultSize="0" autoFill="0" autoLine="0" autoPict="0">
                <anchor moveWithCells="1">
                  <from>
                    <xdr:col>1</xdr:col>
                    <xdr:colOff>152400</xdr:colOff>
                    <xdr:row>40</xdr:row>
                    <xdr:rowOff>114300</xdr:rowOff>
                  </from>
                  <to>
                    <xdr:col>1</xdr:col>
                    <xdr:colOff>165100</xdr:colOff>
                    <xdr:row>41</xdr:row>
                    <xdr:rowOff>88900</xdr:rowOff>
                  </to>
                </anchor>
              </controlPr>
            </control>
          </mc:Choice>
        </mc:AlternateContent>
        <mc:AlternateContent xmlns:mc="http://schemas.openxmlformats.org/markup-compatibility/2006">
          <mc:Choice Requires="x14">
            <control shapeId="3040" r:id="rId19" name="Check Box 2016">
              <controlPr defaultSize="0" autoFill="0" autoLine="0" autoPict="0">
                <anchor moveWithCells="1">
                  <from>
                    <xdr:col>1</xdr:col>
                    <xdr:colOff>152400</xdr:colOff>
                    <xdr:row>40</xdr:row>
                    <xdr:rowOff>114300</xdr:rowOff>
                  </from>
                  <to>
                    <xdr:col>1</xdr:col>
                    <xdr:colOff>165100</xdr:colOff>
                    <xdr:row>41</xdr:row>
                    <xdr:rowOff>88900</xdr:rowOff>
                  </to>
                </anchor>
              </controlPr>
            </control>
          </mc:Choice>
        </mc:AlternateContent>
        <mc:AlternateContent xmlns:mc="http://schemas.openxmlformats.org/markup-compatibility/2006">
          <mc:Choice Requires="x14">
            <control shapeId="3041" r:id="rId20" name="Check Box 2017">
              <controlPr defaultSize="0" autoFill="0" autoLine="0" autoPict="0">
                <anchor moveWithCells="1">
                  <from>
                    <xdr:col>1</xdr:col>
                    <xdr:colOff>152400</xdr:colOff>
                    <xdr:row>40</xdr:row>
                    <xdr:rowOff>114300</xdr:rowOff>
                  </from>
                  <to>
                    <xdr:col>1</xdr:col>
                    <xdr:colOff>165100</xdr:colOff>
                    <xdr:row>41</xdr:row>
                    <xdr:rowOff>88900</xdr:rowOff>
                  </to>
                </anchor>
              </controlPr>
            </control>
          </mc:Choice>
        </mc:AlternateContent>
        <mc:AlternateContent xmlns:mc="http://schemas.openxmlformats.org/markup-compatibility/2006">
          <mc:Choice Requires="x14">
            <control shapeId="3042" r:id="rId21" name="Check Box 2018">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43" r:id="rId22" name="Check Box 2019">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47" r:id="rId23" name="Check Box 2023">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48" r:id="rId24" name="Check Box 2024">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49" r:id="rId25" name="Check Box 2025">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50" r:id="rId26" name="Check Box 2026">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51" r:id="rId27" name="Check Box 2027">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52" r:id="rId28" name="Check Box 2028">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53" r:id="rId29" name="Check Box 2029">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54" r:id="rId30" name="Check Box 2030">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55" r:id="rId31" name="Check Box 2031">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56" r:id="rId32" name="Check Box 2032">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58" r:id="rId33" name="Check Box 2034">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59" r:id="rId34" name="Check Box 2035">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0" r:id="rId35" name="Check Box 2036">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1" r:id="rId36" name="Check Box 2037">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4" r:id="rId37" name="Check Box 2040">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5" r:id="rId38" name="Check Box 2041">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6" r:id="rId39" name="Check Box 2042">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7" r:id="rId40" name="Check Box 2043">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8" r:id="rId41" name="Check Box 2044">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9" r:id="rId42" name="Check Box 2045">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5124" r:id="rId43" name="Check Box 2052">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25" r:id="rId44" name="Check Box 2053">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26" r:id="rId45" name="Check Box 2054">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27" r:id="rId46" name="Check Box 2055">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28" r:id="rId47" name="Check Box 2056">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29" r:id="rId48" name="Check Box 2057">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0" r:id="rId49" name="Check Box 2058">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1" r:id="rId50" name="Check Box 2059">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2" r:id="rId51" name="Check Box 2060">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3" r:id="rId52" name="Check Box 2061">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4" r:id="rId53" name="Check Box 2062">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5" r:id="rId54" name="Check Box 2063">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6" r:id="rId55" name="Check Box 2064">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7" r:id="rId56" name="Check Box 2065">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26</vt:i4>
      </vt:variant>
    </vt:vector>
  </HeadingPairs>
  <TitlesOfParts>
    <vt:vector size="27" baseType="lpstr">
      <vt:lpstr>SA-2824-ENG-xlsm</vt:lpstr>
      <vt:lpstr>'SA-2824-ENG-xlsm'!CONSTRUCTION_BY</vt:lpstr>
      <vt:lpstr>'SA-2824-ENG-xlsm'!CONSTRUCTION_DATE</vt:lpstr>
      <vt:lpstr>'SA-2824-ENG-xlsm'!DC_CERTIFIED_BY</vt:lpstr>
      <vt:lpstr>'SA-2824-ENG-xlsm'!DC_CERTIFIED_DATE</vt:lpstr>
      <vt:lpstr>'SA-2824-ENG-xlsm'!DC_ENGG_BY</vt:lpstr>
      <vt:lpstr>'SA-2824-ENG-xlsm'!DC_ENGG_DATE</vt:lpstr>
      <vt:lpstr>'SA-2824-ENG-xlsm'!DCC_NO</vt:lpstr>
      <vt:lpstr>'SA-2824-ENG-xlsm'!DWG_INDEX</vt:lpstr>
      <vt:lpstr>'SA-2824-ENG-xlsm'!DWG_JO_EWO</vt:lpstr>
      <vt:lpstr>'SA-2824-ENG-xlsm'!DWG_NUMBER</vt:lpstr>
      <vt:lpstr>'SA-2824-ENG-xlsm'!DWG_TITLE1</vt:lpstr>
      <vt:lpstr>'SA-2824-ENG-xlsm'!DWG_TITLE2</vt:lpstr>
      <vt:lpstr>'SA-2824-ENG-xlsm'!DWG_TITLE3</vt:lpstr>
      <vt:lpstr>'SA-2824-ENG-xlsm'!DWG_TYPE</vt:lpstr>
      <vt:lpstr>'SA-2824-ENG-xlsm'!OPERATIONS_BY</vt:lpstr>
      <vt:lpstr>'SA-2824-ENG-xlsm'!OPERATIONS_DATE</vt:lpstr>
      <vt:lpstr>'SA-2824-ENG-xlsm'!OTHER_BY</vt:lpstr>
      <vt:lpstr>'SA-2824-ENG-xlsm'!OTHER_DATE</vt:lpstr>
      <vt:lpstr>'SA-2824-ENG-xlsm'!PLANT_NUMBER</vt:lpstr>
      <vt:lpstr>'SA-2824-ENG-xlsm'!Print_Area</vt:lpstr>
      <vt:lpstr>'SA-2824-ENG-xlsm'!REV_DATE</vt:lpstr>
      <vt:lpstr>'SA-2824-ENG-xlsm'!REV_DESCRIPTION</vt:lpstr>
      <vt:lpstr>'SA-2824-ENG-xlsm'!REV_NUMBER</vt:lpstr>
      <vt:lpstr>'SA-2824-ENG-xlsm'!REV_NUMBER1</vt:lpstr>
      <vt:lpstr>'SA-2824-ENG-xlsm'!RV_REV_NUMBER</vt:lpstr>
      <vt:lpstr>'SA-2824-ENG-xlsm'!SHEET_NUMBER</vt:lpstr>
    </vt:vector>
  </TitlesOfParts>
  <Company>Saudi Aramco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SA-2824</dc:title>
  <dc:subject>Line Designation Table</dc:subject>
  <dc:creator>ESTQ&amp;S/EDSD</dc:creator>
  <cp:lastModifiedBy>Mohamed  Abdelaal</cp:lastModifiedBy>
  <cp:lastPrinted>2025-03-24T11:49:35Z</cp:lastPrinted>
  <dcterms:created xsi:type="dcterms:W3CDTF">2010-10-27T10:19:40Z</dcterms:created>
  <dcterms:modified xsi:type="dcterms:W3CDTF">2026-08-15T18:34:28Z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 Type">
    <vt:lpwstr>LDT</vt:lpwstr>
  </property>
</Properties>
</file>